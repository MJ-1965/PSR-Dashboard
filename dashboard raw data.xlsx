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an\Desktop\대시보드\"/>
    </mc:Choice>
  </mc:AlternateContent>
  <xr:revisionPtr revIDLastSave="0" documentId="13_ncr:1_{42D8714C-893E-4B4A-A96D-26610FA11574}" xr6:coauthVersionLast="47" xr6:coauthVersionMax="47" xr10:uidLastSave="{00000000-0000-0000-0000-000000000000}"/>
  <bookViews>
    <workbookView xWindow="14250" yWindow="615" windowWidth="11415" windowHeight="12330" firstSheet="4" activeTab="5" xr2:uid="{9A895445-513A-45F2-B3AD-994EE0A25D8E}"/>
  </bookViews>
  <sheets>
    <sheet name="인사및일정" sheetId="1" r:id="rId1"/>
    <sheet name="재고현황" sheetId="2" r:id="rId2"/>
    <sheet name="운영스케줄" sheetId="3" r:id="rId3"/>
    <sheet name="소전각 가격" sheetId="4" r:id="rId4"/>
    <sheet name="원부자재 구매액" sheetId="5" r:id="rId5"/>
    <sheet name="월별 재고 요약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6" l="1"/>
  <c r="F10" i="6"/>
  <c r="I11" i="6"/>
  <c r="I6" i="6"/>
  <c r="I5" i="6"/>
  <c r="G10" i="6"/>
  <c r="F9" i="6"/>
  <c r="G9" i="6" s="1"/>
  <c r="F8" i="6"/>
  <c r="G8" i="6" s="1"/>
  <c r="G5" i="6"/>
  <c r="F5" i="6"/>
  <c r="H6" i="4"/>
  <c r="H5" i="4"/>
  <c r="H4" i="4"/>
  <c r="E7" i="5"/>
  <c r="D7" i="5"/>
  <c r="E5" i="5"/>
  <c r="D5" i="5"/>
</calcChain>
</file>

<file path=xl/sharedStrings.xml><?xml version="1.0" encoding="utf-8"?>
<sst xmlns="http://schemas.openxmlformats.org/spreadsheetml/2006/main" count="458" uniqueCount="363">
  <si>
    <t>이름</t>
  </si>
  <si>
    <t>직급</t>
  </si>
  <si>
    <t>담당업무</t>
  </si>
  <si>
    <t>근무중</t>
  </si>
  <si>
    <t>품목명</t>
  </si>
  <si>
    <t>분류</t>
  </si>
  <si>
    <t>현재재고</t>
  </si>
  <si>
    <t>안전재고</t>
  </si>
  <si>
    <t>발주일정</t>
  </si>
  <si>
    <t>입고예정일</t>
  </si>
  <si>
    <t>원재료</t>
  </si>
  <si>
    <t>현재상태</t>
  </si>
  <si>
    <t>시작일</t>
  </si>
  <si>
    <t>종료일</t>
  </si>
  <si>
    <t>비고</t>
  </si>
  <si>
    <t>구분</t>
  </si>
  <si>
    <t>관련품목</t>
  </si>
  <si>
    <t>수량</t>
  </si>
  <si>
    <t>예정일</t>
  </si>
  <si>
    <t>출고</t>
  </si>
  <si>
    <t>Purchasing, S&amp;R</t>
  </si>
  <si>
    <t>S&amp;R</t>
  </si>
  <si>
    <t>S&amp;R, Production</t>
  </si>
  <si>
    <t>소전각</t>
  </si>
  <si>
    <t>간장</t>
  </si>
  <si>
    <t>설탕</t>
  </si>
  <si>
    <t>공급처</t>
  </si>
  <si>
    <t>True West Beef</t>
  </si>
  <si>
    <t>Yamasa</t>
  </si>
  <si>
    <t>United Salad</t>
  </si>
  <si>
    <t>사과 퓨레</t>
  </si>
  <si>
    <t>배 퓨레</t>
  </si>
  <si>
    <t>Fierce Fruit</t>
  </si>
  <si>
    <t>파인애플 주스</t>
  </si>
  <si>
    <t>McDonald</t>
  </si>
  <si>
    <t>트레이</t>
  </si>
  <si>
    <t>TJ 슬리브</t>
  </si>
  <si>
    <t>TJ 박스</t>
  </si>
  <si>
    <t>Point Five</t>
  </si>
  <si>
    <t>부자재</t>
  </si>
  <si>
    <t>Ace Commercial</t>
  </si>
  <si>
    <t>PCA</t>
  </si>
  <si>
    <t>2 FTL</t>
  </si>
  <si>
    <t>마늘</t>
  </si>
  <si>
    <t>Wang Global</t>
  </si>
  <si>
    <t>양파</t>
  </si>
  <si>
    <t>미정</t>
  </si>
  <si>
    <t>8월 초</t>
  </si>
  <si>
    <t>13 totes</t>
  </si>
  <si>
    <t>10 totes</t>
  </si>
  <si>
    <t>8 PLT</t>
  </si>
  <si>
    <t>5 PLT</t>
  </si>
  <si>
    <t>6 PLT</t>
  </si>
  <si>
    <t>2 PLT</t>
  </si>
  <si>
    <t>3 PLT</t>
  </si>
  <si>
    <t>1 PLT</t>
  </si>
  <si>
    <t>15 PLT</t>
  </si>
  <si>
    <t>40 PLT</t>
  </si>
  <si>
    <t>50 PLT</t>
  </si>
  <si>
    <t>구매가격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</si>
  <si>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</si>
  <si>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</si>
  <si>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</si>
  <si>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</si>
  <si>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</si>
  <si>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</si>
  <si>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</si>
  <si>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</si>
  <si>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</si>
  <si>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</si>
  <si>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</si>
  <si>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</si>
  <si>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</si>
  <si>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</si>
  <si>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</si>
  <si>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</si>
  <si>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</si>
  <si>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</si>
  <si>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</si>
  <si>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</si>
  <si>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</si>
  <si>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</si>
  <si>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</si>
  <si>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</si>
  <si>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</si>
  <si>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</si>
  <si>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</si>
  <si>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</si>
  <si>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</si>
  <si>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</si>
  <si>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</si>
  <si>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</si>
  <si>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</si>
  <si>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</si>
  <si>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</si>
  <si>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</si>
  <si>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</si>
  <si>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</si>
  <si>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</si>
  <si>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</si>
  <si>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</si>
  <si>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</si>
  <si>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</si>
  <si>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</si>
  <si>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</si>
  <si>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</si>
  <si>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</si>
  <si>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</si>
  <si>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</si>
  <si>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</si>
  <si>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</si>
  <si>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</si>
  <si>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</si>
  <si>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</si>
  <si>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</si>
  <si>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</si>
  <si>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</si>
  <si>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</si>
  <si>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</si>
  <si>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</si>
  <si>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</si>
  <si>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</si>
  <si>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</si>
  <si>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</si>
  <si>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</si>
  <si>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</si>
  <si>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</si>
  <si>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</si>
  <si>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</si>
  <si>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04/09/2026</t>
  </si>
  <si>
    <t>04/10/2026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</si>
  <si>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</si>
  <si>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</si>
  <si>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</si>
  <si>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</si>
  <si>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</si>
  <si>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</si>
  <si>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</si>
  <si>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</si>
  <si>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</si>
  <si>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</si>
  <si>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</si>
  <si>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</si>
  <si>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</si>
  <si>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</si>
  <si>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05/01/2026</t>
  </si>
  <si>
    <t>05/04/2026</t>
  </si>
  <si>
    <t>05/05/2026</t>
  </si>
  <si>
    <t>05/06/2026</t>
  </si>
  <si>
    <t>05/07/2026</t>
  </si>
  <si>
    <t>05/08/2026</t>
  </si>
  <si>
    <t>05/11/2026</t>
  </si>
  <si>
    <t>05/12/2026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</si>
  <si>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</si>
  <si>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</si>
  <si>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</si>
  <si>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</si>
  <si>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</si>
  <si>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</si>
  <si>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</si>
  <si>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</si>
  <si>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05/26/2026</t>
  </si>
  <si>
    <t>05/27/2026</t>
  </si>
  <si>
    <t>05/28/2026</t>
  </si>
  <si>
    <t>05/29/2026</t>
  </si>
  <si>
    <t>06/01/2026</t>
  </si>
  <si>
    <t>06/02/2026</t>
  </si>
  <si>
    <t>06/03/2026</t>
  </si>
  <si>
    <t>06/04/2026</t>
  </si>
  <si>
    <t>06/05/2026</t>
  </si>
  <si>
    <t>06/08/2026</t>
  </si>
  <si>
    <t>06/09/2026</t>
  </si>
  <si>
    <t>06/10/2026</t>
  </si>
  <si>
    <t>06/11/2026</t>
  </si>
  <si>
    <t>06/12/2026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</si>
  <si>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</si>
  <si>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</si>
  <si>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</si>
  <si>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</si>
  <si>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</si>
  <si>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</si>
  <si>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</si>
  <si>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</si>
  <si>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</si>
  <si>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날짜</t>
  </si>
  <si>
    <t>시장 가격</t>
  </si>
  <si>
    <t>Trader Joe's</t>
  </si>
  <si>
    <t>1 FTL</t>
  </si>
  <si>
    <t>Trader Joe's(J&amp;D)</t>
  </si>
  <si>
    <t>273차 - 외부창고</t>
  </si>
  <si>
    <t>274차 - 외부창고</t>
  </si>
  <si>
    <t>277차 - 외부창고</t>
  </si>
  <si>
    <t>276차 - 공장</t>
  </si>
  <si>
    <t>278차 - 외부창고</t>
  </si>
  <si>
    <t>Lyons, Robert W</t>
  </si>
  <si>
    <t xml:space="preserve">Gonzalez Dieguez, Rolando </t>
  </si>
  <si>
    <t>Garcia Gutierrez, Josue</t>
  </si>
  <si>
    <t>Matthew(Insang) Joung</t>
  </si>
  <si>
    <t>업무 제한: 20lb 이상 Lifting 금지</t>
  </si>
  <si>
    <t>8월 말, 9월 말</t>
  </si>
  <si>
    <t>발주 시점</t>
  </si>
  <si>
    <t>매주 확인</t>
  </si>
  <si>
    <t>매월 3주</t>
  </si>
  <si>
    <t>매주 목요일</t>
  </si>
  <si>
    <t>박스 수령일 -&gt; 다음달 발주</t>
  </si>
  <si>
    <t>슬리브 수령일 -&gt; 다음달 발주</t>
  </si>
  <si>
    <t>트레이 수령일 -&gt; 2달 후 발주</t>
  </si>
  <si>
    <t>격주로 확인</t>
  </si>
  <si>
    <t>280차 - 외부창고</t>
  </si>
  <si>
    <t>279차 - 공장</t>
  </si>
  <si>
    <t>Remond</t>
  </si>
  <si>
    <t>Weee!</t>
  </si>
  <si>
    <t>LA Changtuh</t>
  </si>
  <si>
    <t>282차 - 공장</t>
  </si>
  <si>
    <t>281차 - 공장</t>
  </si>
  <si>
    <t>284차 -외부창고</t>
  </si>
  <si>
    <t>285차 - 공장</t>
  </si>
  <si>
    <t>Chunil</t>
  </si>
  <si>
    <t>RB</t>
  </si>
  <si>
    <t>19 PLT</t>
  </si>
  <si>
    <t>8/7, 8/14, 8/21, 8/28</t>
  </si>
  <si>
    <t>8/13, 8/20, 8/27</t>
  </si>
  <si>
    <t>8/6, 8/13, 8/20, 8/27</t>
  </si>
  <si>
    <t>8월 중순</t>
  </si>
  <si>
    <t>8/21 휴가 예정</t>
  </si>
  <si>
    <t>3 FTL</t>
  </si>
  <si>
    <t>1.2 FTL</t>
  </si>
  <si>
    <t>2025년 전체</t>
  </si>
  <si>
    <t>26년 1월</t>
  </si>
  <si>
    <t>26년 2월</t>
  </si>
  <si>
    <t>26년 3월</t>
  </si>
  <si>
    <t>26년 4월</t>
  </si>
  <si>
    <t>26년 5월</t>
  </si>
  <si>
    <t>26년 6월</t>
  </si>
  <si>
    <t>26년 7월</t>
  </si>
  <si>
    <t>26년 8월</t>
  </si>
  <si>
    <t>26년 9월</t>
  </si>
  <si>
    <t>2026년 누적</t>
  </si>
  <si>
    <t>2026년 월평균</t>
  </si>
  <si>
    <t>2025년 월평균</t>
  </si>
  <si>
    <t>26년 10월</t>
  </si>
  <si>
    <t>26년 11월</t>
  </si>
  <si>
    <t>26년 12월</t>
  </si>
  <si>
    <t>시장가격 누계 평균</t>
  </si>
  <si>
    <t>구매가격 누계평균</t>
  </si>
  <si>
    <t>차이</t>
  </si>
  <si>
    <t>누계 구매량</t>
  </si>
  <si>
    <t>283차 - 외부창고</t>
  </si>
  <si>
    <t>Kroger</t>
  </si>
  <si>
    <t>발주
가능</t>
  </si>
  <si>
    <t>PK 차돌박이된장찌개(prop65)</t>
  </si>
  <si>
    <t>PK 육개장</t>
  </si>
  <si>
    <t>PK 부대찌개(prop65)</t>
  </si>
  <si>
    <t>PK 설렁탕</t>
  </si>
  <si>
    <t>PK 소고기 미역국</t>
  </si>
  <si>
    <t>PK 김치찌개(prop65)</t>
  </si>
  <si>
    <t>PK 김치제육볶음</t>
  </si>
  <si>
    <t>PK 시래기 감자탕</t>
  </si>
  <si>
    <t>PK 불맛 짬뽕탕(prop65)</t>
  </si>
  <si>
    <t>PK 불맛짜장</t>
  </si>
  <si>
    <t>PK 뚝배기 버섯 불고기</t>
  </si>
  <si>
    <t>PK 진한 사골육수</t>
  </si>
  <si>
    <t>PK 안동식 찜닭</t>
  </si>
  <si>
    <t>PK 닭볶음탕</t>
  </si>
  <si>
    <t>PK 춘천식 닭갈비</t>
  </si>
  <si>
    <t>PK 갈비탕</t>
  </si>
  <si>
    <t>PK 얼큰 대파 갈비탕</t>
  </si>
  <si>
    <t>Walmart 미역국</t>
  </si>
  <si>
    <t>Walmart 설렁탕</t>
  </si>
  <si>
    <t>Walmart 김치찌개</t>
  </si>
  <si>
    <t>Walmart 육개장</t>
  </si>
  <si>
    <t>PK 차돌박이 육개장 (상온)</t>
  </si>
  <si>
    <t>PK 치즈부대찌개 (상온)</t>
  </si>
  <si>
    <t>PK 순두부 찌개 (상온)</t>
  </si>
  <si>
    <t>PK 설렁탕 (상온)</t>
  </si>
  <si>
    <t>PK 강된장 (상온)</t>
  </si>
  <si>
    <t>농심 부대찌개 Base</t>
  </si>
  <si>
    <t>BULK Beef Bulgogi (Metro)</t>
  </si>
  <si>
    <t>Bulk Beef Bulgogi(NW)</t>
  </si>
  <si>
    <t>BULK LA갈비(Metro)</t>
  </si>
  <si>
    <t>Costco 육개장</t>
  </si>
  <si>
    <t>Costco 마파두부</t>
  </si>
  <si>
    <t>Costco 소미역국</t>
  </si>
  <si>
    <t>한상 김치찌개</t>
  </si>
  <si>
    <t>한상 된장찌개</t>
  </si>
  <si>
    <t>한상 따로국밥</t>
  </si>
  <si>
    <t>한상 사골농축액</t>
  </si>
  <si>
    <t>한상 설렁탕</t>
  </si>
  <si>
    <t>한상 육개장</t>
  </si>
  <si>
    <t>한상 부대찌개</t>
  </si>
  <si>
    <t>한상 버섯불고기</t>
  </si>
  <si>
    <t>한상 돼지 감자탕</t>
  </si>
  <si>
    <t>한상 닭곰탕</t>
  </si>
  <si>
    <t>한상 황태해장국 (Pro65)</t>
  </si>
  <si>
    <t>한상 시래기 갈비탕</t>
  </si>
  <si>
    <t>한상 들깨 미역국</t>
  </si>
  <si>
    <t>PK 소불고기 (영문)</t>
  </si>
  <si>
    <t>PK 돼지불고기 (영문)</t>
  </si>
  <si>
    <t>PK 닭불고기 (영문)</t>
  </si>
  <si>
    <t>PK LA갈비 (영문)</t>
  </si>
  <si>
    <t>PK 고추장삼겹 (영문)</t>
  </si>
  <si>
    <t>PK 붉닭구이 (영문)</t>
  </si>
  <si>
    <t>PK 허니갈릭치킨 (영문)</t>
  </si>
  <si>
    <t>WM 소불고기</t>
  </si>
  <si>
    <t>WM 소갈비</t>
  </si>
  <si>
    <t>Hmart 8 oz 소불고기</t>
  </si>
  <si>
    <t>Hmart 16 oz 소불고기</t>
  </si>
  <si>
    <t>Kroger 소불고기</t>
  </si>
  <si>
    <t>PK 소불고기 (국문)</t>
  </si>
  <si>
    <t>PK 돼지불고기 (국문)</t>
  </si>
  <si>
    <t>PK 닭불고기 (국문)</t>
  </si>
  <si>
    <t>PK LA갈비 (국문)</t>
  </si>
  <si>
    <t>PK 고추장삼겹 (국문)</t>
  </si>
  <si>
    <t>PK 붉닭구이 (국문)</t>
  </si>
  <si>
    <t>한상 소불고기 (국문)</t>
  </si>
  <si>
    <t>한상 돼지불고기 (국문)</t>
  </si>
  <si>
    <t>한상 닭불고기 (국문)</t>
  </si>
  <si>
    <t>한상 LA갈비 (국문)</t>
  </si>
  <si>
    <t>한상 고추장삼겹 (국문)</t>
  </si>
  <si>
    <t>한상 붉닭구이 (국문)</t>
  </si>
  <si>
    <t>Kroger 소불고기 (6개입,영문)</t>
  </si>
  <si>
    <t>Kroger 돼지불고기 (6개입, 영문)</t>
  </si>
  <si>
    <t>Kroger 닭불고기 (6개입, 영문)</t>
  </si>
  <si>
    <t>Kroger LA갈비 (6개입, 영문)</t>
  </si>
  <si>
    <t>Kroger 고추장삼겹 (6개입, 영문)</t>
  </si>
  <si>
    <t>Kroger 붉닭구이 (6개입, 영문)</t>
  </si>
  <si>
    <t>TJ's 소불고기</t>
  </si>
  <si>
    <t>Costco 소불고기(임시)</t>
  </si>
  <si>
    <t>Costco LA갈비(임시)</t>
  </si>
  <si>
    <t>Costco 닭불고기(임시)</t>
  </si>
  <si>
    <t>Costco 고추장 삼겹살(임시)</t>
  </si>
  <si>
    <t>한상 소고기 미역국(수출용)</t>
  </si>
  <si>
    <t>한상 설렁탕(수출용)</t>
  </si>
  <si>
    <t>한상 육개장(수출용)</t>
  </si>
  <si>
    <t>PK 애호박돼지찌개</t>
  </si>
  <si>
    <t>PK 닭개장</t>
  </si>
  <si>
    <t>PK 소고기 달걀 장조림</t>
  </si>
  <si>
    <t>PK 인도식 치킨 커리</t>
  </si>
  <si>
    <t>PK 태국 치킨 레드 커리</t>
  </si>
  <si>
    <t>김치 살사 (Metro)</t>
  </si>
  <si>
    <t>태국 치킨 레드 커리 (Metro)</t>
  </si>
  <si>
    <t>PK Kimchi Tomatoa Salsa w/ Bacon</t>
  </si>
  <si>
    <t>PK Bulgogi Cream Pasta Sauce</t>
  </si>
  <si>
    <t>PK Beef Bulgogi</t>
  </si>
  <si>
    <t>PK Cajun Chicken</t>
  </si>
  <si>
    <t>PK Spicy Pork Belly</t>
  </si>
  <si>
    <t>BULK Pulled Pork (Metro)</t>
  </si>
  <si>
    <t>PK 주꾸미 삼겹살</t>
  </si>
  <si>
    <t>PK 홍합미역국</t>
  </si>
  <si>
    <t>박스</t>
  </si>
  <si>
    <t>팔렛</t>
  </si>
  <si>
    <t>PK 국탕류 재고</t>
  </si>
  <si>
    <t>한상 국탕류 재고</t>
  </si>
  <si>
    <t>Kroger 소불고기 재고</t>
  </si>
  <si>
    <t>TJ 소불고기 재고</t>
  </si>
  <si>
    <t>국탕류 100개 미만 품목</t>
  </si>
  <si>
    <t>국탕류 300개 이상 품목</t>
  </si>
  <si>
    <t>특이사항</t>
  </si>
  <si>
    <t>공장</t>
  </si>
  <si>
    <t>외부창고</t>
  </si>
  <si>
    <t>건</t>
  </si>
  <si>
    <t>PK 및 기타 가열육 재고</t>
  </si>
  <si>
    <t>8월 1주 재고 현황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</si>
</sst>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14" fontId="1" fillId="0" borderId="2" xfId="0" applyNumberFormat="1" applyFont="1" applyBorder="1" applyAlignment="1">
      <alignment horizontal="left" vertical="center" wrapText="1" indent="1" readingOrder="1"/>
    </xf>
    <xf numFmtId="0" fontId="0" fillId="0" borderId="2" xfId="0" applyBorder="1"/>
    <xf numFmtId="44" fontId="0" fillId="0" borderId="2" xfId="1" applyFont="1" applyBorder="1"/>
    <xf numFmtId="14" fontId="0" fillId="0" borderId="2" xfId="0" applyNumberFormat="1" applyBorder="1"/>
    <xf numFmtId="44" fontId="0" fillId="0" borderId="0" xfId="1" applyFont="1"/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" fontId="0" fillId="0" borderId="2" xfId="0" applyNumberFormat="1" applyBorder="1"/>
    <xf numFmtId="0" fontId="0" fillId="0" borderId="2" xfId="0" applyBorder="1" applyAlignment="1">
      <alignment horizontal="center" vertical="center"/>
    </xf>
    <xf numFmtId="164" fontId="0" fillId="0" borderId="2" xfId="3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C086-594E-4C2B-9782-7E24033B84D9}">
  <dimension ref="B1:H6"/>
  <sheetViews>
    <sheetView topLeftCell="C1" workbookViewId="0">
      <selection activeCell="E9" sqref="E9"/>
    </sheetView>
  </sheetViews>
  <sheetFormatPr defaultRowHeight="15" x14ac:dyDescent="0.25"/>
  <cols>
    <col min="2" max="2" width="25.7109375" customWidth="1"/>
    <col min="3" max="3" width="6.5703125" bestFit="1" customWidth="1"/>
    <col min="4" max="4" width="18.7109375" bestFit="1" customWidth="1"/>
    <col min="5" max="5" width="10.85546875" bestFit="1" customWidth="1"/>
    <col min="6" max="7" width="11.42578125" bestFit="1" customWidth="1"/>
    <col min="8" max="8" width="50.140625" customWidth="1"/>
  </cols>
  <sheetData>
    <row r="1" spans="2:8" ht="15.75" thickBot="1" x14ac:dyDescent="0.3"/>
    <row r="2" spans="2:8" ht="15.75" thickBot="1" x14ac:dyDescent="0.3">
      <c r="B2" s="1" t="s">
        <v>0</v>
      </c>
      <c r="C2" s="1" t="s">
        <v>1</v>
      </c>
      <c r="D2" s="1" t="s">
        <v>2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2:8" ht="15.75" thickBot="1" x14ac:dyDescent="0.3">
      <c r="B3" s="2" t="s">
        <v>197</v>
      </c>
      <c r="C3" s="2"/>
      <c r="D3" s="2" t="s">
        <v>20</v>
      </c>
      <c r="E3" s="2" t="s">
        <v>3</v>
      </c>
      <c r="F3" s="3"/>
      <c r="G3" s="3"/>
      <c r="H3" s="2" t="s">
        <v>224</v>
      </c>
    </row>
    <row r="4" spans="2:8" ht="29.25" thickBot="1" x14ac:dyDescent="0.3">
      <c r="B4" s="2" t="s">
        <v>195</v>
      </c>
      <c r="C4" s="2"/>
      <c r="D4" s="2" t="s">
        <v>21</v>
      </c>
      <c r="E4" s="2" t="s">
        <v>3</v>
      </c>
      <c r="F4" s="3"/>
      <c r="G4" s="3"/>
      <c r="H4" s="2"/>
    </row>
    <row r="5" spans="2:8" ht="15.75" thickBot="1" x14ac:dyDescent="0.3">
      <c r="B5" s="2" t="s">
        <v>196</v>
      </c>
      <c r="C5" s="2"/>
      <c r="D5" s="2" t="s">
        <v>22</v>
      </c>
      <c r="E5" s="2" t="s">
        <v>3</v>
      </c>
      <c r="F5" s="3"/>
      <c r="G5" s="3"/>
      <c r="H5" s="2"/>
    </row>
    <row r="6" spans="2:8" ht="15.75" thickBot="1" x14ac:dyDescent="0.3">
      <c r="B6" s="2" t="s">
        <v>194</v>
      </c>
      <c r="C6" s="2"/>
      <c r="D6" s="2" t="s">
        <v>21</v>
      </c>
      <c r="E6" s="2" t="s">
        <v>3</v>
      </c>
      <c r="F6" s="3"/>
      <c r="G6" s="3"/>
      <c r="H6" s="2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9826-F2A9-4E76-8839-ACFB4CA20ACB}">
  <dimension ref="B2:I13"/>
  <sheetViews>
    <sheetView workbookViewId="0">
      <selection activeCell="J19" sqref="J19"/>
    </sheetView>
  </sheetViews>
  <sheetFormatPr defaultRowHeight="15" x14ac:dyDescent="0.25"/>
  <cols>
    <col min="2" max="2" width="8.7109375" bestFit="1" customWidth="1"/>
    <col min="3" max="3" width="15.85546875" bestFit="1" customWidth="1"/>
    <col min="4" max="4" width="18.140625" bestFit="1" customWidth="1"/>
    <col min="5" max="6" width="10.85546875" bestFit="1" customWidth="1"/>
    <col min="7" max="7" width="21.42578125" customWidth="1"/>
    <col min="8" max="8" width="22.140625" bestFit="1" customWidth="1"/>
    <col min="9" max="9" width="11.42578125" bestFit="1" customWidth="1"/>
    <col min="10" max="10" width="22.140625" bestFit="1" customWidth="1"/>
  </cols>
  <sheetData>
    <row r="2" spans="2:9" x14ac:dyDescent="0.25">
      <c r="B2" s="4" t="s">
        <v>5</v>
      </c>
      <c r="C2" s="4" t="s">
        <v>4</v>
      </c>
      <c r="D2" s="4" t="s">
        <v>26</v>
      </c>
      <c r="E2" s="4" t="s">
        <v>6</v>
      </c>
      <c r="F2" s="4" t="s">
        <v>7</v>
      </c>
      <c r="G2" s="4" t="s">
        <v>200</v>
      </c>
      <c r="H2" s="4" t="s">
        <v>9</v>
      </c>
      <c r="I2" s="4" t="s">
        <v>8</v>
      </c>
    </row>
    <row r="3" spans="2:9" x14ac:dyDescent="0.25">
      <c r="B3" s="5" t="s">
        <v>10</v>
      </c>
      <c r="C3" s="5" t="s">
        <v>23</v>
      </c>
      <c r="D3" s="5" t="s">
        <v>27</v>
      </c>
      <c r="E3" s="5" t="s">
        <v>225</v>
      </c>
      <c r="F3" s="5" t="s">
        <v>225</v>
      </c>
      <c r="G3" s="5" t="s">
        <v>201</v>
      </c>
      <c r="H3" s="6" t="s">
        <v>220</v>
      </c>
      <c r="I3" s="6">
        <v>46244</v>
      </c>
    </row>
    <row r="4" spans="2:9" x14ac:dyDescent="0.25">
      <c r="B4" s="5" t="s">
        <v>10</v>
      </c>
      <c r="C4" s="5" t="s">
        <v>24</v>
      </c>
      <c r="D4" s="5" t="s">
        <v>28</v>
      </c>
      <c r="E4" s="5" t="s">
        <v>48</v>
      </c>
      <c r="F4" s="5" t="s">
        <v>49</v>
      </c>
      <c r="G4" s="5" t="s">
        <v>202</v>
      </c>
      <c r="H4" s="5" t="s">
        <v>221</v>
      </c>
      <c r="I4" s="6">
        <v>46254</v>
      </c>
    </row>
    <row r="5" spans="2:9" x14ac:dyDescent="0.25">
      <c r="B5" s="5" t="s">
        <v>10</v>
      </c>
      <c r="C5" s="5" t="s">
        <v>25</v>
      </c>
      <c r="D5" s="5" t="s">
        <v>29</v>
      </c>
      <c r="E5" s="5" t="s">
        <v>50</v>
      </c>
      <c r="F5" s="5" t="s">
        <v>50</v>
      </c>
      <c r="G5" s="5" t="s">
        <v>203</v>
      </c>
      <c r="H5" s="5" t="s">
        <v>222</v>
      </c>
      <c r="I5" s="6">
        <v>46258</v>
      </c>
    </row>
    <row r="6" spans="2:9" x14ac:dyDescent="0.25">
      <c r="B6" s="5" t="s">
        <v>10</v>
      </c>
      <c r="C6" s="5" t="s">
        <v>30</v>
      </c>
      <c r="D6" s="5" t="s">
        <v>32</v>
      </c>
      <c r="E6" s="5" t="s">
        <v>51</v>
      </c>
      <c r="F6" s="5" t="s">
        <v>52</v>
      </c>
      <c r="G6" s="5" t="s">
        <v>202</v>
      </c>
      <c r="H6" s="5" t="s">
        <v>223</v>
      </c>
      <c r="I6" s="6">
        <v>46254</v>
      </c>
    </row>
    <row r="7" spans="2:9" x14ac:dyDescent="0.25">
      <c r="B7" s="5" t="s">
        <v>10</v>
      </c>
      <c r="C7" s="5" t="s">
        <v>31</v>
      </c>
      <c r="D7" s="5" t="s">
        <v>32</v>
      </c>
      <c r="E7" s="5" t="s">
        <v>51</v>
      </c>
      <c r="F7" s="5" t="s">
        <v>52</v>
      </c>
      <c r="G7" s="5" t="s">
        <v>202</v>
      </c>
      <c r="H7" s="5" t="s">
        <v>223</v>
      </c>
      <c r="I7" s="6">
        <v>46254</v>
      </c>
    </row>
    <row r="8" spans="2:9" x14ac:dyDescent="0.25">
      <c r="B8" s="5" t="s">
        <v>10</v>
      </c>
      <c r="C8" s="5" t="s">
        <v>33</v>
      </c>
      <c r="D8" s="5" t="s">
        <v>34</v>
      </c>
      <c r="E8" s="5" t="s">
        <v>54</v>
      </c>
      <c r="F8" s="5" t="s">
        <v>54</v>
      </c>
      <c r="G8" s="5" t="s">
        <v>207</v>
      </c>
      <c r="H8" s="5" t="s">
        <v>46</v>
      </c>
      <c r="I8" s="6">
        <v>46251</v>
      </c>
    </row>
    <row r="9" spans="2:9" x14ac:dyDescent="0.25">
      <c r="B9" s="5" t="s">
        <v>10</v>
      </c>
      <c r="C9" s="5" t="s">
        <v>43</v>
      </c>
      <c r="D9" s="5" t="s">
        <v>44</v>
      </c>
      <c r="E9" s="5" t="s">
        <v>51</v>
      </c>
      <c r="F9" s="5" t="s">
        <v>54</v>
      </c>
      <c r="G9" s="5" t="s">
        <v>202</v>
      </c>
      <c r="H9" s="5" t="s">
        <v>46</v>
      </c>
      <c r="I9" s="6">
        <v>46254</v>
      </c>
    </row>
    <row r="10" spans="2:9" x14ac:dyDescent="0.25">
      <c r="B10" s="5" t="s">
        <v>10</v>
      </c>
      <c r="C10" s="5" t="s">
        <v>45</v>
      </c>
      <c r="D10" s="5" t="s">
        <v>29</v>
      </c>
      <c r="E10" s="5" t="s">
        <v>55</v>
      </c>
      <c r="F10" s="5" t="s">
        <v>55</v>
      </c>
      <c r="G10" s="5" t="s">
        <v>203</v>
      </c>
      <c r="H10" s="5" t="s">
        <v>222</v>
      </c>
      <c r="I10" s="6">
        <v>46258</v>
      </c>
    </row>
    <row r="11" spans="2:9" ht="28.5" x14ac:dyDescent="0.25">
      <c r="B11" s="5" t="s">
        <v>39</v>
      </c>
      <c r="C11" s="5" t="s">
        <v>35</v>
      </c>
      <c r="D11" s="5" t="s">
        <v>38</v>
      </c>
      <c r="E11" s="5" t="s">
        <v>226</v>
      </c>
      <c r="F11" s="5" t="s">
        <v>42</v>
      </c>
      <c r="G11" s="5" t="s">
        <v>206</v>
      </c>
      <c r="H11" s="6" t="s">
        <v>199</v>
      </c>
      <c r="I11" s="6">
        <v>46260</v>
      </c>
    </row>
    <row r="12" spans="2:9" ht="28.5" x14ac:dyDescent="0.25">
      <c r="B12" s="5" t="s">
        <v>39</v>
      </c>
      <c r="C12" s="5" t="s">
        <v>36</v>
      </c>
      <c r="D12" s="5" t="s">
        <v>40</v>
      </c>
      <c r="E12" s="5" t="s">
        <v>56</v>
      </c>
      <c r="F12" s="5" t="s">
        <v>56</v>
      </c>
      <c r="G12" s="5" t="s">
        <v>205</v>
      </c>
      <c r="H12" s="6" t="s">
        <v>47</v>
      </c>
      <c r="I12" s="6">
        <v>46244</v>
      </c>
    </row>
    <row r="13" spans="2:9" ht="28.5" x14ac:dyDescent="0.25">
      <c r="B13" s="5" t="s">
        <v>39</v>
      </c>
      <c r="C13" s="5" t="s">
        <v>37</v>
      </c>
      <c r="D13" s="5" t="s">
        <v>41</v>
      </c>
      <c r="E13" s="5" t="s">
        <v>57</v>
      </c>
      <c r="F13" s="5" t="s">
        <v>58</v>
      </c>
      <c r="G13" s="5" t="s">
        <v>204</v>
      </c>
      <c r="H13" s="6">
        <v>46262</v>
      </c>
      <c r="I13" s="6">
        <v>46262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6E33-6CBE-4A4F-A438-2E8B726DCE5D}">
  <dimension ref="B1:F32"/>
  <sheetViews>
    <sheetView topLeftCell="A3" workbookViewId="0">
      <selection activeCell="D23" sqref="D23"/>
    </sheetView>
  </sheetViews>
  <sheetFormatPr defaultRowHeight="15" x14ac:dyDescent="0.25"/>
  <cols>
    <col min="2" max="2" width="13.7109375" customWidth="1"/>
    <col min="3" max="3" width="24.28515625" customWidth="1"/>
    <col min="4" max="5" width="13.7109375" customWidth="1"/>
    <col min="6" max="6" width="18.5703125" bestFit="1" customWidth="1"/>
  </cols>
  <sheetData>
    <row r="1" spans="2:6" ht="15.75" thickBot="1" x14ac:dyDescent="0.3"/>
    <row r="2" spans="2:6" ht="15.75" thickBo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14</v>
      </c>
    </row>
    <row r="3" spans="2:6" ht="15.75" thickBot="1" x14ac:dyDescent="0.3">
      <c r="B3" s="2" t="s">
        <v>19</v>
      </c>
      <c r="C3" s="2" t="s">
        <v>188</v>
      </c>
      <c r="D3" s="2" t="s">
        <v>187</v>
      </c>
      <c r="E3" s="3">
        <v>46217</v>
      </c>
      <c r="F3" s="2"/>
    </row>
    <row r="4" spans="2:6" ht="15.75" thickBot="1" x14ac:dyDescent="0.3">
      <c r="B4" s="2" t="s">
        <v>19</v>
      </c>
      <c r="C4" s="2" t="s">
        <v>186</v>
      </c>
      <c r="D4" s="2" t="s">
        <v>187</v>
      </c>
      <c r="E4" s="3">
        <v>46218</v>
      </c>
      <c r="F4" s="2" t="s">
        <v>189</v>
      </c>
    </row>
    <row r="5" spans="2:6" ht="15.75" thickBot="1" x14ac:dyDescent="0.3">
      <c r="B5" s="2" t="s">
        <v>19</v>
      </c>
      <c r="C5" s="2" t="s">
        <v>186</v>
      </c>
      <c r="D5" s="2" t="s">
        <v>187</v>
      </c>
      <c r="E5" s="3">
        <v>46223</v>
      </c>
      <c r="F5" s="2" t="s">
        <v>190</v>
      </c>
    </row>
    <row r="6" spans="2:6" ht="15.75" thickBot="1" x14ac:dyDescent="0.3">
      <c r="B6" s="2" t="s">
        <v>19</v>
      </c>
      <c r="C6" s="2" t="s">
        <v>186</v>
      </c>
      <c r="D6" s="2" t="s">
        <v>187</v>
      </c>
      <c r="E6" s="3">
        <v>46225</v>
      </c>
      <c r="F6" s="2" t="s">
        <v>192</v>
      </c>
    </row>
    <row r="7" spans="2:6" ht="15.75" thickBot="1" x14ac:dyDescent="0.3">
      <c r="B7" s="2" t="s">
        <v>19</v>
      </c>
      <c r="C7" s="2" t="s">
        <v>186</v>
      </c>
      <c r="D7" s="2" t="s">
        <v>187</v>
      </c>
      <c r="E7" s="3">
        <v>46226</v>
      </c>
      <c r="F7" s="2" t="s">
        <v>191</v>
      </c>
    </row>
    <row r="8" spans="2:6" ht="15.75" thickBot="1" x14ac:dyDescent="0.3">
      <c r="B8" s="2" t="s">
        <v>19</v>
      </c>
      <c r="C8" s="2" t="s">
        <v>188</v>
      </c>
      <c r="D8" s="2" t="s">
        <v>187</v>
      </c>
      <c r="E8" s="3">
        <v>46232</v>
      </c>
      <c r="F8" s="2"/>
    </row>
    <row r="9" spans="2:6" ht="15.75" thickBot="1" x14ac:dyDescent="0.3">
      <c r="B9" s="2" t="s">
        <v>19</v>
      </c>
      <c r="C9" s="2" t="s">
        <v>186</v>
      </c>
      <c r="D9" s="2" t="s">
        <v>187</v>
      </c>
      <c r="E9" s="3">
        <v>46234</v>
      </c>
      <c r="F9" s="2" t="s">
        <v>193</v>
      </c>
    </row>
    <row r="10" spans="2:6" ht="15.75" thickBot="1" x14ac:dyDescent="0.3">
      <c r="B10" s="2" t="s">
        <v>19</v>
      </c>
      <c r="C10" s="2" t="s">
        <v>186</v>
      </c>
      <c r="D10" s="2" t="s">
        <v>187</v>
      </c>
      <c r="E10" s="3">
        <v>46237</v>
      </c>
      <c r="F10" s="2" t="s">
        <v>209</v>
      </c>
    </row>
    <row r="11" spans="2:6" ht="15.75" thickBot="1" x14ac:dyDescent="0.3">
      <c r="B11" s="2" t="s">
        <v>19</v>
      </c>
      <c r="C11" s="2" t="s">
        <v>211</v>
      </c>
      <c r="D11" s="2" t="s">
        <v>55</v>
      </c>
      <c r="E11" s="3">
        <v>46223</v>
      </c>
      <c r="F11" s="2"/>
    </row>
    <row r="12" spans="2:6" ht="15.75" thickBot="1" x14ac:dyDescent="0.3">
      <c r="B12" s="2" t="s">
        <v>19</v>
      </c>
      <c r="C12" s="2" t="s">
        <v>210</v>
      </c>
      <c r="D12" s="2" t="s">
        <v>55</v>
      </c>
      <c r="E12" s="3">
        <v>46223</v>
      </c>
      <c r="F12" s="2"/>
    </row>
    <row r="13" spans="2:6" ht="15.75" thickBot="1" x14ac:dyDescent="0.3">
      <c r="B13" s="2" t="s">
        <v>19</v>
      </c>
      <c r="C13" s="2" t="s">
        <v>186</v>
      </c>
      <c r="D13" s="2" t="s">
        <v>187</v>
      </c>
      <c r="E13" s="3">
        <v>46238</v>
      </c>
      <c r="F13" s="2" t="s">
        <v>208</v>
      </c>
    </row>
    <row r="14" spans="2:6" ht="15.75" thickBot="1" x14ac:dyDescent="0.3">
      <c r="B14" s="2" t="s">
        <v>19</v>
      </c>
      <c r="C14" s="2" t="s">
        <v>212</v>
      </c>
      <c r="D14" s="2" t="s">
        <v>53</v>
      </c>
      <c r="E14" s="3">
        <v>46239</v>
      </c>
      <c r="F14" s="2"/>
    </row>
    <row r="15" spans="2:6" ht="15.75" thickBot="1" x14ac:dyDescent="0.3">
      <c r="B15" s="2" t="s">
        <v>19</v>
      </c>
      <c r="C15" s="2" t="s">
        <v>188</v>
      </c>
      <c r="D15" s="2" t="s">
        <v>187</v>
      </c>
      <c r="E15" s="3">
        <v>46241</v>
      </c>
      <c r="F15" s="2"/>
    </row>
    <row r="16" spans="2:6" ht="15.75" thickBot="1" x14ac:dyDescent="0.3">
      <c r="B16" s="2" t="s">
        <v>19</v>
      </c>
      <c r="C16" s="2" t="s">
        <v>186</v>
      </c>
      <c r="D16" s="2" t="s">
        <v>187</v>
      </c>
      <c r="E16" s="3">
        <v>46245</v>
      </c>
      <c r="F16" s="2" t="s">
        <v>213</v>
      </c>
    </row>
    <row r="17" spans="2:6" ht="15.75" thickBot="1" x14ac:dyDescent="0.3">
      <c r="B17" s="2" t="s">
        <v>19</v>
      </c>
      <c r="C17" s="2" t="s">
        <v>186</v>
      </c>
      <c r="D17" s="2" t="s">
        <v>187</v>
      </c>
      <c r="E17" s="3">
        <v>46251</v>
      </c>
      <c r="F17" s="2" t="s">
        <v>214</v>
      </c>
    </row>
    <row r="18" spans="2:6" ht="15.75" thickBot="1" x14ac:dyDescent="0.3">
      <c r="B18" s="2" t="s">
        <v>19</v>
      </c>
      <c r="C18" s="2" t="s">
        <v>186</v>
      </c>
      <c r="D18" s="2" t="s">
        <v>187</v>
      </c>
      <c r="E18" s="3">
        <v>46251</v>
      </c>
      <c r="F18" s="2" t="s">
        <v>215</v>
      </c>
    </row>
    <row r="19" spans="2:6" ht="15.75" thickBot="1" x14ac:dyDescent="0.3">
      <c r="B19" s="2" t="s">
        <v>19</v>
      </c>
      <c r="C19" s="2" t="s">
        <v>188</v>
      </c>
      <c r="D19" s="2" t="s">
        <v>187</v>
      </c>
      <c r="E19" s="3">
        <v>46253</v>
      </c>
      <c r="F19" s="2"/>
    </row>
    <row r="20" spans="2:6" ht="15.75" thickBot="1" x14ac:dyDescent="0.3">
      <c r="B20" s="2" t="s">
        <v>19</v>
      </c>
      <c r="C20" s="2" t="s">
        <v>186</v>
      </c>
      <c r="D20" s="2" t="s">
        <v>187</v>
      </c>
      <c r="E20" s="3">
        <v>46258</v>
      </c>
      <c r="F20" s="2" t="s">
        <v>216</v>
      </c>
    </row>
    <row r="21" spans="2:6" ht="15.75" thickBot="1" x14ac:dyDescent="0.3">
      <c r="B21" s="2" t="s">
        <v>19</v>
      </c>
      <c r="C21" s="2" t="s">
        <v>217</v>
      </c>
      <c r="D21" s="2" t="s">
        <v>55</v>
      </c>
      <c r="E21" s="3">
        <v>46251</v>
      </c>
      <c r="F21" s="2"/>
    </row>
    <row r="22" spans="2:6" ht="15.75" thickBot="1" x14ac:dyDescent="0.3">
      <c r="B22" s="2" t="s">
        <v>19</v>
      </c>
      <c r="C22" s="2" t="s">
        <v>218</v>
      </c>
      <c r="D22" s="2" t="s">
        <v>219</v>
      </c>
      <c r="E22" s="3">
        <v>46261</v>
      </c>
      <c r="F22" s="2"/>
    </row>
    <row r="23" spans="2:6" ht="15.75" thickBot="1" x14ac:dyDescent="0.3">
      <c r="B23" s="2" t="s">
        <v>19</v>
      </c>
      <c r="C23" s="2" t="s">
        <v>186</v>
      </c>
      <c r="D23" s="2" t="s">
        <v>187</v>
      </c>
      <c r="E23" s="3">
        <v>46252</v>
      </c>
      <c r="F23" s="2" t="s">
        <v>247</v>
      </c>
    </row>
    <row r="24" spans="2:6" ht="15.75" thickBot="1" x14ac:dyDescent="0.3">
      <c r="B24" s="2" t="s">
        <v>19</v>
      </c>
      <c r="C24" s="2" t="s">
        <v>248</v>
      </c>
      <c r="D24" s="2" t="s">
        <v>187</v>
      </c>
      <c r="E24" s="3">
        <v>46245</v>
      </c>
      <c r="F24" s="2"/>
    </row>
    <row r="25" spans="2:6" ht="15.75" thickBot="1" x14ac:dyDescent="0.3">
      <c r="B25" s="2"/>
      <c r="C25" s="2"/>
      <c r="D25" s="2"/>
      <c r="E25" s="3"/>
      <c r="F25" s="2"/>
    </row>
    <row r="26" spans="2:6" ht="15.75" thickBot="1" x14ac:dyDescent="0.3">
      <c r="B26" s="2"/>
      <c r="C26" s="2"/>
      <c r="D26" s="2"/>
      <c r="E26" s="3"/>
      <c r="F26" s="2"/>
    </row>
    <row r="27" spans="2:6" ht="15.75" thickBot="1" x14ac:dyDescent="0.3">
      <c r="B27" s="2"/>
      <c r="C27" s="2"/>
      <c r="D27" s="2"/>
      <c r="E27" s="3"/>
      <c r="F27" s="2"/>
    </row>
    <row r="28" spans="2:6" ht="15.75" thickBot="1" x14ac:dyDescent="0.3">
      <c r="B28" s="2"/>
      <c r="C28" s="2"/>
      <c r="D28" s="2"/>
      <c r="E28" s="3"/>
      <c r="F28" s="2"/>
    </row>
    <row r="29" spans="2:6" ht="15.75" thickBot="1" x14ac:dyDescent="0.3">
      <c r="B29" s="2"/>
      <c r="C29" s="2"/>
      <c r="D29" s="2"/>
      <c r="E29" s="3"/>
      <c r="F29" s="2"/>
    </row>
    <row r="30" spans="2:6" ht="15.75" thickBot="1" x14ac:dyDescent="0.3">
      <c r="B30" s="2"/>
      <c r="C30" s="2"/>
      <c r="D30" s="2"/>
      <c r="E30" s="3"/>
      <c r="F30" s="2"/>
    </row>
    <row r="31" spans="2:6" ht="15.75" thickBot="1" x14ac:dyDescent="0.3">
      <c r="B31" s="2"/>
      <c r="C31" s="2"/>
      <c r="D31" s="2"/>
      <c r="E31" s="3"/>
      <c r="F31" s="2"/>
    </row>
    <row r="32" spans="2:6" ht="15.75" thickBot="1" x14ac:dyDescent="0.3">
      <c r="B32" s="2"/>
      <c r="C32" s="2"/>
      <c r="D32" s="2"/>
      <c r="E32" s="3"/>
      <c r="F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69F2-ABF3-479B-9A70-167875A2ADD6}">
  <dimension ref="B2:H155"/>
  <sheetViews>
    <sheetView workbookViewId="0">
      <selection activeCell="F15" sqref="F15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9.5703125" bestFit="1" customWidth="1"/>
    <col min="5" max="6" width="5" bestFit="1" customWidth="1"/>
    <col min="7" max="7" width="19.28515625" bestFit="1" customWidth="1"/>
  </cols>
  <sheetData>
    <row r="2" spans="2:8" x14ac:dyDescent="0.25">
      <c r="B2" s="7" t="s">
        <v>184</v>
      </c>
      <c r="C2" s="7" t="s">
        <v>185</v>
      </c>
      <c r="D2" s="7" t="s">
        <v>59</v>
      </c>
    </row>
    <row r="3" spans="2:8" x14ac:dyDescent="0.25">
      <c r="B3" s="7" t="s">
        <v>60</v>
      </c>
      <c r="C3" s="8">
        <v>4.13</v>
      </c>
      <c r="D3" s="8"/>
      <c r="G3" s="11" t="s">
        <v>243</v>
      </c>
      <c r="H3" s="12">
        <v>4.4000000000000004</v>
      </c>
    </row>
    <row r="4" spans="2:8" x14ac:dyDescent="0.25">
      <c r="B4" s="7" t="s">
        <v>61</v>
      </c>
      <c r="C4" s="8">
        <v>4.1099999999999994</v>
      </c>
      <c r="D4" s="8"/>
      <c r="G4" s="11" t="s">
        <v>244</v>
      </c>
      <c r="H4" s="12">
        <f>AVERAGE(D3:D155)</f>
        <v>4.3290244121951229</v>
      </c>
    </row>
    <row r="5" spans="2:8" x14ac:dyDescent="0.25">
      <c r="B5" s="7" t="s">
        <v>62</v>
      </c>
      <c r="C5" s="8">
        <v>4.1999999999999993</v>
      </c>
      <c r="D5" s="8">
        <v>4.0999999999999996</v>
      </c>
      <c r="G5" s="11" t="s">
        <v>245</v>
      </c>
      <c r="H5" s="13">
        <f>(H4-H3)/H3</f>
        <v>-1.6130815410199419E-2</v>
      </c>
    </row>
    <row r="6" spans="2:8" x14ac:dyDescent="0.25">
      <c r="B6" s="7" t="s">
        <v>63</v>
      </c>
      <c r="C6" s="8">
        <v>4.2199999999999989</v>
      </c>
      <c r="D6" s="8"/>
      <c r="G6" s="11" t="s">
        <v>246</v>
      </c>
      <c r="H6" s="11" t="str">
        <f>COUNT(D3:D370)&amp;"FTL"</f>
        <v>41FTL</v>
      </c>
    </row>
    <row r="7" spans="2:8" x14ac:dyDescent="0.25">
      <c r="B7" s="7" t="s">
        <v>64</v>
      </c>
      <c r="C7" s="8">
        <v>4.1599999999999993</v>
      </c>
      <c r="D7" s="8"/>
    </row>
    <row r="8" spans="2:8" x14ac:dyDescent="0.25">
      <c r="B8" s="7" t="s">
        <v>65</v>
      </c>
      <c r="C8" s="8">
        <v>4.2399999999999993</v>
      </c>
      <c r="D8" s="8"/>
    </row>
    <row r="9" spans="2:8" x14ac:dyDescent="0.25">
      <c r="B9" s="7" t="s">
        <v>66</v>
      </c>
      <c r="C9" s="8">
        <v>4.2799999999999994</v>
      </c>
      <c r="D9" s="8"/>
    </row>
    <row r="10" spans="2:8" x14ac:dyDescent="0.25">
      <c r="B10" s="7" t="s">
        <v>67</v>
      </c>
      <c r="C10" s="8">
        <v>4.2399999999999993</v>
      </c>
      <c r="D10" s="8">
        <v>4.0999999999999996</v>
      </c>
    </row>
    <row r="11" spans="2:8" x14ac:dyDescent="0.25">
      <c r="B11" s="7" t="s">
        <v>68</v>
      </c>
      <c r="C11" s="8">
        <v>4.1999999999999993</v>
      </c>
      <c r="D11" s="8"/>
    </row>
    <row r="12" spans="2:8" x14ac:dyDescent="0.25">
      <c r="B12" s="7" t="s">
        <v>69</v>
      </c>
      <c r="C12" s="8">
        <v>4.2299999999999995</v>
      </c>
      <c r="D12" s="8">
        <v>4.16</v>
      </c>
    </row>
    <row r="13" spans="2:8" x14ac:dyDescent="0.25">
      <c r="B13" s="7" t="s">
        <v>70</v>
      </c>
      <c r="C13" s="8">
        <v>4.1599999999999993</v>
      </c>
      <c r="D13" s="8"/>
    </row>
    <row r="14" spans="2:8" x14ac:dyDescent="0.25">
      <c r="B14" s="7" t="s">
        <v>71</v>
      </c>
      <c r="C14" s="8">
        <v>4.3099999999999996</v>
      </c>
      <c r="D14" s="8"/>
    </row>
    <row r="15" spans="2:8" x14ac:dyDescent="0.25">
      <c r="B15" s="7" t="s">
        <v>72</v>
      </c>
      <c r="C15" s="8">
        <v>4.2399999999999993</v>
      </c>
      <c r="D15" s="8">
        <v>4.2299999000000001</v>
      </c>
    </row>
    <row r="16" spans="2:8" x14ac:dyDescent="0.25">
      <c r="B16" s="7" t="s">
        <v>73</v>
      </c>
      <c r="C16" s="8">
        <v>4.2799999999999994</v>
      </c>
      <c r="D16" s="8"/>
    </row>
    <row r="17" spans="2:4" x14ac:dyDescent="0.25">
      <c r="B17" s="7" t="s">
        <v>74</v>
      </c>
      <c r="C17" s="8">
        <v>4.3299999999999992</v>
      </c>
      <c r="D17" s="8"/>
    </row>
    <row r="18" spans="2:4" x14ac:dyDescent="0.25">
      <c r="B18" s="7" t="s">
        <v>75</v>
      </c>
      <c r="C18" s="8">
        <v>4.339999999999999</v>
      </c>
      <c r="D18" s="8"/>
    </row>
    <row r="19" spans="2:4" x14ac:dyDescent="0.25">
      <c r="B19" s="7" t="s">
        <v>76</v>
      </c>
      <c r="C19" s="8">
        <v>4.3299999999999992</v>
      </c>
      <c r="D19" s="8"/>
    </row>
    <row r="20" spans="2:4" x14ac:dyDescent="0.25">
      <c r="B20" s="7" t="s">
        <v>77</v>
      </c>
      <c r="C20" s="8">
        <v>4.2399999999999993</v>
      </c>
      <c r="D20" s="8"/>
    </row>
    <row r="21" spans="2:4" x14ac:dyDescent="0.25">
      <c r="B21" s="7" t="s">
        <v>78</v>
      </c>
      <c r="C21" s="8">
        <v>4.2199999999999989</v>
      </c>
      <c r="D21" s="8"/>
    </row>
    <row r="22" spans="2:4" x14ac:dyDescent="0.25">
      <c r="B22" s="7" t="s">
        <v>79</v>
      </c>
      <c r="C22" s="8">
        <v>4.2199999999999989</v>
      </c>
      <c r="D22" s="8"/>
    </row>
    <row r="23" spans="2:4" x14ac:dyDescent="0.25">
      <c r="B23" s="7" t="s">
        <v>80</v>
      </c>
      <c r="C23" s="8">
        <v>4.2799999999999994</v>
      </c>
      <c r="D23" s="8"/>
    </row>
    <row r="24" spans="2:4" x14ac:dyDescent="0.25">
      <c r="B24" s="7" t="s">
        <v>81</v>
      </c>
      <c r="C24" s="8">
        <v>4.3299999999999992</v>
      </c>
      <c r="D24" s="8">
        <v>4.1900000000000004</v>
      </c>
    </row>
    <row r="25" spans="2:4" x14ac:dyDescent="0.25">
      <c r="B25" s="7" t="s">
        <v>82</v>
      </c>
      <c r="C25" s="8">
        <v>4.3099999999999996</v>
      </c>
      <c r="D25" s="8"/>
    </row>
    <row r="26" spans="2:4" x14ac:dyDescent="0.25">
      <c r="B26" s="7" t="s">
        <v>83</v>
      </c>
      <c r="C26" s="8">
        <v>4.2499999999999991</v>
      </c>
      <c r="D26" s="8">
        <v>4.1900000000000004</v>
      </c>
    </row>
    <row r="27" spans="2:4" x14ac:dyDescent="0.25">
      <c r="B27" s="7" t="s">
        <v>84</v>
      </c>
      <c r="C27" s="8">
        <v>4.2699999999999996</v>
      </c>
      <c r="D27" s="8"/>
    </row>
    <row r="28" spans="2:4" x14ac:dyDescent="0.25">
      <c r="B28" s="7" t="s">
        <v>85</v>
      </c>
      <c r="C28" s="8">
        <v>4.2699999999999996</v>
      </c>
      <c r="D28" s="8">
        <v>4.2200001</v>
      </c>
    </row>
    <row r="29" spans="2:4" x14ac:dyDescent="0.25">
      <c r="B29" s="7" t="s">
        <v>86</v>
      </c>
      <c r="C29" s="8">
        <v>4.3099999999999996</v>
      </c>
      <c r="D29" s="8"/>
    </row>
    <row r="30" spans="2:4" x14ac:dyDescent="0.25">
      <c r="B30" s="7" t="s">
        <v>87</v>
      </c>
      <c r="C30" s="8">
        <v>4.2299999999999995</v>
      </c>
      <c r="D30" s="8">
        <v>4.17</v>
      </c>
    </row>
    <row r="31" spans="2:4" x14ac:dyDescent="0.25">
      <c r="B31" s="7" t="s">
        <v>88</v>
      </c>
      <c r="C31" s="8">
        <v>4.2299999999999995</v>
      </c>
      <c r="D31" s="8"/>
    </row>
    <row r="32" spans="2:4" x14ac:dyDescent="0.25">
      <c r="B32" s="7" t="s">
        <v>89</v>
      </c>
      <c r="C32" s="8">
        <v>4.18</v>
      </c>
      <c r="D32" s="8">
        <v>4.17</v>
      </c>
    </row>
    <row r="33" spans="2:4" x14ac:dyDescent="0.25">
      <c r="B33" s="7" t="s">
        <v>90</v>
      </c>
      <c r="C33" s="8">
        <v>4.2599999999999989</v>
      </c>
      <c r="D33" s="8"/>
    </row>
    <row r="34" spans="2:4" x14ac:dyDescent="0.25">
      <c r="B34" s="7" t="s">
        <v>91</v>
      </c>
      <c r="C34" s="8">
        <v>4.2699999999999996</v>
      </c>
      <c r="D34" s="8"/>
    </row>
    <row r="35" spans="2:4" x14ac:dyDescent="0.25">
      <c r="B35" s="7" t="s">
        <v>92</v>
      </c>
      <c r="C35" s="8">
        <v>4.2599999999999989</v>
      </c>
      <c r="D35" s="8"/>
    </row>
    <row r="36" spans="2:4" x14ac:dyDescent="0.25">
      <c r="B36" s="7" t="s">
        <v>93</v>
      </c>
      <c r="C36" s="8">
        <v>4.2399999999999993</v>
      </c>
      <c r="D36" s="8">
        <v>4.2100001000000002</v>
      </c>
    </row>
    <row r="37" spans="2:4" x14ac:dyDescent="0.25">
      <c r="B37" s="7" t="s">
        <v>94</v>
      </c>
      <c r="C37" s="8">
        <v>4.2899999999999991</v>
      </c>
      <c r="D37" s="8"/>
    </row>
    <row r="38" spans="2:4" x14ac:dyDescent="0.25">
      <c r="B38" s="7" t="s">
        <v>95</v>
      </c>
      <c r="C38" s="8">
        <v>4.2899999999999991</v>
      </c>
      <c r="D38" s="8"/>
    </row>
    <row r="39" spans="2:4" x14ac:dyDescent="0.25">
      <c r="B39" s="7" t="s">
        <v>96</v>
      </c>
      <c r="C39" s="8">
        <v>4.3099999999999996</v>
      </c>
      <c r="D39" s="8"/>
    </row>
    <row r="40" spans="2:4" x14ac:dyDescent="0.25">
      <c r="B40" s="7" t="s">
        <v>97</v>
      </c>
      <c r="C40" s="8">
        <v>4.3899999999999997</v>
      </c>
      <c r="D40" s="8">
        <v>4.21</v>
      </c>
    </row>
    <row r="41" spans="2:4" x14ac:dyDescent="0.25">
      <c r="B41" s="7" t="s">
        <v>98</v>
      </c>
      <c r="C41" s="8">
        <v>4.4099999999999993</v>
      </c>
      <c r="D41" s="8"/>
    </row>
    <row r="42" spans="2:4" x14ac:dyDescent="0.25">
      <c r="B42" s="7" t="s">
        <v>99</v>
      </c>
      <c r="C42" s="8">
        <v>4.419999999999999</v>
      </c>
      <c r="D42" s="8">
        <v>4.3400001000000001</v>
      </c>
    </row>
    <row r="43" spans="2:4" x14ac:dyDescent="0.25">
      <c r="B43" s="7" t="s">
        <v>100</v>
      </c>
      <c r="C43" s="8">
        <v>4.4499999999999993</v>
      </c>
      <c r="D43" s="8"/>
    </row>
    <row r="44" spans="2:4" x14ac:dyDescent="0.25">
      <c r="B44" s="7" t="s">
        <v>101</v>
      </c>
      <c r="C44" s="8">
        <v>4.4699999999999989</v>
      </c>
      <c r="D44" s="8"/>
    </row>
    <row r="45" spans="2:4" x14ac:dyDescent="0.25">
      <c r="B45" s="7" t="s">
        <v>102</v>
      </c>
      <c r="C45" s="8">
        <v>4.4799999999999995</v>
      </c>
      <c r="D45" s="8"/>
    </row>
    <row r="46" spans="2:4" x14ac:dyDescent="0.25">
      <c r="B46" s="7" t="s">
        <v>103</v>
      </c>
      <c r="C46" s="8">
        <v>4.4899999999999993</v>
      </c>
      <c r="D46" s="8"/>
    </row>
    <row r="47" spans="2:4" x14ac:dyDescent="0.25">
      <c r="B47" s="7" t="s">
        <v>104</v>
      </c>
      <c r="C47" s="8">
        <v>4.669999999999999</v>
      </c>
      <c r="D47" s="8">
        <v>4.4500000999999996</v>
      </c>
    </row>
    <row r="48" spans="2:4" x14ac:dyDescent="0.25">
      <c r="B48" s="7" t="s">
        <v>105</v>
      </c>
      <c r="C48" s="8">
        <v>4.5799999999999992</v>
      </c>
      <c r="D48" s="8"/>
    </row>
    <row r="49" spans="2:4" x14ac:dyDescent="0.25">
      <c r="B49" s="7" t="s">
        <v>106</v>
      </c>
      <c r="C49" s="8">
        <v>4.669999999999999</v>
      </c>
      <c r="D49" s="8"/>
    </row>
    <row r="50" spans="2:4" x14ac:dyDescent="0.25">
      <c r="B50" s="7" t="s">
        <v>107</v>
      </c>
      <c r="C50" s="8">
        <v>4.5699999999999994</v>
      </c>
      <c r="D50" s="8">
        <v>4.4500000999999996</v>
      </c>
    </row>
    <row r="51" spans="2:4" x14ac:dyDescent="0.25">
      <c r="B51" s="7" t="s">
        <v>108</v>
      </c>
      <c r="C51" s="8">
        <v>4.589999999999999</v>
      </c>
      <c r="D51" s="8"/>
    </row>
    <row r="52" spans="2:4" x14ac:dyDescent="0.25">
      <c r="B52" s="7" t="s">
        <v>109</v>
      </c>
      <c r="C52" s="8">
        <v>4.5499999999999989</v>
      </c>
      <c r="D52" s="8">
        <v>4.5300000999999996</v>
      </c>
    </row>
    <row r="53" spans="2:4" x14ac:dyDescent="0.25">
      <c r="B53" s="7" t="s">
        <v>110</v>
      </c>
      <c r="C53" s="8">
        <v>4.7199999999999989</v>
      </c>
      <c r="D53" s="8"/>
    </row>
    <row r="54" spans="2:4" x14ac:dyDescent="0.25">
      <c r="B54" s="7" t="s">
        <v>111</v>
      </c>
      <c r="C54" s="8">
        <v>4.6399999999999997</v>
      </c>
      <c r="D54" s="8"/>
    </row>
    <row r="55" spans="2:4" x14ac:dyDescent="0.25">
      <c r="B55" s="7" t="s">
        <v>112</v>
      </c>
      <c r="C55" s="8">
        <v>4.6499999999999995</v>
      </c>
      <c r="D55" s="8">
        <v>4.5500001000000001</v>
      </c>
    </row>
    <row r="56" spans="2:4" x14ac:dyDescent="0.25">
      <c r="B56" s="7" t="s">
        <v>113</v>
      </c>
      <c r="C56" s="8">
        <v>4.6399999999999997</v>
      </c>
      <c r="D56" s="8"/>
    </row>
    <row r="57" spans="2:4" x14ac:dyDescent="0.25">
      <c r="B57" s="7" t="s">
        <v>114</v>
      </c>
      <c r="C57" s="8">
        <v>4.6099999999999994</v>
      </c>
      <c r="D57" s="8">
        <v>4.55</v>
      </c>
    </row>
    <row r="58" spans="2:4" x14ac:dyDescent="0.25">
      <c r="B58" s="7" t="s">
        <v>115</v>
      </c>
      <c r="C58" s="8">
        <v>4.5299999999999994</v>
      </c>
      <c r="D58" s="8">
        <v>4.4799999000000001</v>
      </c>
    </row>
    <row r="59" spans="2:4" x14ac:dyDescent="0.25">
      <c r="B59" s="7" t="s">
        <v>116</v>
      </c>
      <c r="C59" s="8">
        <v>4.6599999999999993</v>
      </c>
      <c r="D59" s="8"/>
    </row>
    <row r="60" spans="2:4" x14ac:dyDescent="0.25">
      <c r="B60" s="7" t="s">
        <v>117</v>
      </c>
      <c r="C60" s="8">
        <v>4.4999999999999991</v>
      </c>
      <c r="D60" s="8"/>
    </row>
    <row r="61" spans="2:4" x14ac:dyDescent="0.25">
      <c r="B61" s="7" t="s">
        <v>118</v>
      </c>
      <c r="C61" s="8">
        <v>4.5599999999999996</v>
      </c>
      <c r="D61" s="8"/>
    </row>
    <row r="62" spans="2:4" x14ac:dyDescent="0.25">
      <c r="B62" s="7" t="s">
        <v>119</v>
      </c>
      <c r="C62" s="8">
        <v>4.5299999999999994</v>
      </c>
      <c r="D62" s="8">
        <v>4.4800000999999998</v>
      </c>
    </row>
    <row r="63" spans="2:4" x14ac:dyDescent="0.25">
      <c r="B63" s="7" t="s">
        <v>120</v>
      </c>
      <c r="C63" s="8">
        <v>4.5099999999999989</v>
      </c>
      <c r="D63" s="8"/>
    </row>
    <row r="64" spans="2:4" x14ac:dyDescent="0.25">
      <c r="B64" s="7" t="s">
        <v>121</v>
      </c>
      <c r="C64" s="8">
        <v>4.5499999999999989</v>
      </c>
      <c r="D64" s="8"/>
    </row>
    <row r="65" spans="2:4" x14ac:dyDescent="0.25">
      <c r="B65" s="7" t="s">
        <v>122</v>
      </c>
      <c r="C65" s="8">
        <v>4.5099999999999989</v>
      </c>
      <c r="D65" s="8"/>
    </row>
    <row r="66" spans="2:4" x14ac:dyDescent="0.25">
      <c r="B66" s="7" t="s">
        <v>123</v>
      </c>
      <c r="C66" s="8">
        <v>4.4599999999999991</v>
      </c>
      <c r="D66" s="8"/>
    </row>
    <row r="67" spans="2:4" x14ac:dyDescent="0.25">
      <c r="B67" s="7" t="s">
        <v>124</v>
      </c>
      <c r="C67" s="8">
        <v>4.4499999999999993</v>
      </c>
      <c r="D67" s="8"/>
    </row>
    <row r="68" spans="2:4" x14ac:dyDescent="0.25">
      <c r="B68" s="7" t="s">
        <v>125</v>
      </c>
      <c r="C68" s="8">
        <v>4.4499999999999993</v>
      </c>
      <c r="D68" s="8">
        <v>4.4300001</v>
      </c>
    </row>
    <row r="69" spans="2:4" x14ac:dyDescent="0.25">
      <c r="B69" s="7" t="s">
        <v>126</v>
      </c>
      <c r="C69" s="8">
        <v>4.3999999999999995</v>
      </c>
      <c r="D69" s="8"/>
    </row>
    <row r="70" spans="2:4" x14ac:dyDescent="0.25">
      <c r="B70" s="7" t="s">
        <v>127</v>
      </c>
      <c r="C70" s="8">
        <v>4.3599999999999994</v>
      </c>
      <c r="D70" s="8"/>
    </row>
    <row r="71" spans="2:4" x14ac:dyDescent="0.25">
      <c r="B71" s="7" t="s">
        <v>127</v>
      </c>
      <c r="C71" s="8">
        <v>4.3599999999999994</v>
      </c>
      <c r="D71" s="8">
        <v>4.26</v>
      </c>
    </row>
    <row r="72" spans="2:4" x14ac:dyDescent="0.25">
      <c r="B72" s="7" t="s">
        <v>128</v>
      </c>
      <c r="C72" s="8">
        <v>4.2599999999999989</v>
      </c>
      <c r="D72" s="8"/>
    </row>
    <row r="73" spans="2:4" x14ac:dyDescent="0.25">
      <c r="B73" s="7" t="s">
        <v>129</v>
      </c>
      <c r="C73" s="8">
        <v>4.2299999999999995</v>
      </c>
      <c r="D73" s="8">
        <v>4.26</v>
      </c>
    </row>
    <row r="74" spans="2:4" x14ac:dyDescent="0.25">
      <c r="B74" s="7" t="s">
        <v>130</v>
      </c>
      <c r="C74" s="8">
        <v>4.2499999999999991</v>
      </c>
      <c r="D74" s="8"/>
    </row>
    <row r="75" spans="2:4" x14ac:dyDescent="0.25">
      <c r="B75" s="7" t="s">
        <v>131</v>
      </c>
      <c r="C75" s="8">
        <v>4.2199999999999989</v>
      </c>
      <c r="D75" s="8"/>
    </row>
    <row r="76" spans="2:4" x14ac:dyDescent="0.25">
      <c r="B76" s="7" t="s">
        <v>132</v>
      </c>
      <c r="C76" s="8">
        <v>4.2499999999999991</v>
      </c>
      <c r="D76" s="8">
        <v>4.18</v>
      </c>
    </row>
    <row r="77" spans="2:4" x14ac:dyDescent="0.25">
      <c r="B77" s="7" t="s">
        <v>133</v>
      </c>
      <c r="C77" s="8">
        <v>4.2599999999999989</v>
      </c>
      <c r="D77" s="8"/>
    </row>
    <row r="78" spans="2:4" x14ac:dyDescent="0.25">
      <c r="B78" s="7" t="s">
        <v>134</v>
      </c>
      <c r="C78" s="8">
        <v>4.2699999999999996</v>
      </c>
      <c r="D78" s="8">
        <v>4.18</v>
      </c>
    </row>
    <row r="79" spans="2:4" x14ac:dyDescent="0.25">
      <c r="B79" s="7" t="s">
        <v>135</v>
      </c>
      <c r="C79" s="8">
        <v>4.17</v>
      </c>
      <c r="D79" s="8"/>
    </row>
    <row r="80" spans="2:4" x14ac:dyDescent="0.25">
      <c r="B80" s="7" t="s">
        <v>136</v>
      </c>
      <c r="C80" s="8">
        <v>4.2399999999999993</v>
      </c>
      <c r="D80" s="8"/>
    </row>
    <row r="81" spans="2:4" x14ac:dyDescent="0.25">
      <c r="B81" s="7" t="s">
        <v>137</v>
      </c>
      <c r="C81" s="8">
        <v>4.2399999999999993</v>
      </c>
      <c r="D81" s="8">
        <v>4.2</v>
      </c>
    </row>
    <row r="82" spans="2:4" x14ac:dyDescent="0.25">
      <c r="B82" s="7" t="s">
        <v>138</v>
      </c>
      <c r="C82" s="8">
        <v>4.2499999999999991</v>
      </c>
      <c r="D82" s="8"/>
    </row>
    <row r="83" spans="2:4" x14ac:dyDescent="0.25">
      <c r="B83" s="7" t="s">
        <v>139</v>
      </c>
      <c r="C83" s="8">
        <v>4.2799999999999994</v>
      </c>
      <c r="D83" s="8">
        <v>4.2</v>
      </c>
    </row>
    <row r="84" spans="2:4" x14ac:dyDescent="0.25">
      <c r="B84" s="7" t="s">
        <v>140</v>
      </c>
      <c r="C84" s="8">
        <v>4.3099999999999996</v>
      </c>
      <c r="D84" s="8"/>
    </row>
    <row r="85" spans="2:4" x14ac:dyDescent="0.25">
      <c r="B85" s="7" t="s">
        <v>141</v>
      </c>
      <c r="C85" s="8">
        <v>4.2899999999999991</v>
      </c>
      <c r="D85" s="8"/>
    </row>
    <row r="86" spans="2:4" x14ac:dyDescent="0.25">
      <c r="B86" s="7" t="s">
        <v>142</v>
      </c>
      <c r="C86" s="8">
        <v>4.3199999999999994</v>
      </c>
      <c r="D86" s="8">
        <v>4.2800000999999996</v>
      </c>
    </row>
    <row r="87" spans="2:4" x14ac:dyDescent="0.25">
      <c r="B87" s="7" t="s">
        <v>143</v>
      </c>
      <c r="C87" s="8">
        <v>4.419999999999999</v>
      </c>
      <c r="D87" s="8"/>
    </row>
    <row r="88" spans="2:4" x14ac:dyDescent="0.25">
      <c r="B88" s="7" t="s">
        <v>144</v>
      </c>
      <c r="C88" s="8">
        <v>4.3699999999999992</v>
      </c>
      <c r="D88" s="8">
        <v>4.2799999</v>
      </c>
    </row>
    <row r="89" spans="2:4" x14ac:dyDescent="0.25">
      <c r="B89" s="7" t="s">
        <v>145</v>
      </c>
      <c r="C89" s="8">
        <v>4.3699999999999992</v>
      </c>
      <c r="D89" s="8"/>
    </row>
    <row r="90" spans="2:4" x14ac:dyDescent="0.25">
      <c r="B90" s="7" t="s">
        <v>146</v>
      </c>
      <c r="C90" s="8">
        <v>4.379999999999999</v>
      </c>
      <c r="D90" s="8"/>
    </row>
    <row r="91" spans="2:4" x14ac:dyDescent="0.25">
      <c r="B91" s="7" t="s">
        <v>147</v>
      </c>
      <c r="C91" s="8">
        <v>4.3899999999999997</v>
      </c>
      <c r="D91" s="8"/>
    </row>
    <row r="92" spans="2:4" x14ac:dyDescent="0.25">
      <c r="B92" s="7" t="s">
        <v>148</v>
      </c>
      <c r="C92" s="8">
        <v>4.43</v>
      </c>
      <c r="D92" s="8"/>
    </row>
    <row r="93" spans="2:4" x14ac:dyDescent="0.25">
      <c r="B93" s="7" t="s">
        <v>149</v>
      </c>
      <c r="C93" s="8">
        <v>4.3099999999999996</v>
      </c>
      <c r="D93" s="8">
        <v>4.3200000999999997</v>
      </c>
    </row>
    <row r="94" spans="2:4" x14ac:dyDescent="0.25">
      <c r="B94" s="7" t="s">
        <v>150</v>
      </c>
      <c r="C94" s="8">
        <v>4.3899999999999997</v>
      </c>
      <c r="D94" s="8"/>
    </row>
    <row r="95" spans="2:4" x14ac:dyDescent="0.25">
      <c r="B95" s="7" t="s">
        <v>151</v>
      </c>
      <c r="C95" s="8">
        <v>4.4399999999999995</v>
      </c>
      <c r="D95" s="8"/>
    </row>
    <row r="96" spans="2:4" x14ac:dyDescent="0.25">
      <c r="B96" s="7" t="s">
        <v>152</v>
      </c>
      <c r="C96" s="8">
        <v>4.3999999999999995</v>
      </c>
      <c r="D96" s="8"/>
    </row>
    <row r="97" spans="2:4" x14ac:dyDescent="0.25">
      <c r="B97" s="7" t="s">
        <v>153</v>
      </c>
      <c r="C97" s="8">
        <v>4.4399999999999995</v>
      </c>
      <c r="D97" s="8"/>
    </row>
    <row r="98" spans="2:4" x14ac:dyDescent="0.25">
      <c r="B98" s="7" t="s">
        <v>154</v>
      </c>
      <c r="C98" s="8">
        <v>4.379999999999999</v>
      </c>
      <c r="D98" s="8">
        <v>4.37</v>
      </c>
    </row>
    <row r="99" spans="2:4" x14ac:dyDescent="0.25">
      <c r="B99" s="7" t="s">
        <v>155</v>
      </c>
      <c r="C99" s="8">
        <v>4.4599999999999991</v>
      </c>
      <c r="D99" s="8"/>
    </row>
    <row r="100" spans="2:4" x14ac:dyDescent="0.25">
      <c r="B100" s="7" t="s">
        <v>156</v>
      </c>
      <c r="C100" s="8">
        <v>4.419999999999999</v>
      </c>
      <c r="D100" s="8"/>
    </row>
    <row r="101" spans="2:4" x14ac:dyDescent="0.25">
      <c r="B101" s="7" t="s">
        <v>157</v>
      </c>
      <c r="C101" s="8">
        <v>4.5199999999999996</v>
      </c>
      <c r="D101" s="8">
        <v>4.43</v>
      </c>
    </row>
    <row r="102" spans="2:4" x14ac:dyDescent="0.25">
      <c r="B102" s="7" t="s">
        <v>158</v>
      </c>
      <c r="C102" s="8">
        <v>4.4399999999999995</v>
      </c>
      <c r="D102" s="8"/>
    </row>
    <row r="103" spans="2:4" x14ac:dyDescent="0.25">
      <c r="B103" s="7" t="s">
        <v>159</v>
      </c>
      <c r="C103" s="8">
        <v>4.5399999999999991</v>
      </c>
      <c r="D103" s="8"/>
    </row>
    <row r="104" spans="2:4" x14ac:dyDescent="0.25">
      <c r="B104" s="7" t="s">
        <v>160</v>
      </c>
      <c r="C104" s="8">
        <v>4.4799999999999995</v>
      </c>
      <c r="D104" s="8"/>
    </row>
    <row r="105" spans="2:4" x14ac:dyDescent="0.25">
      <c r="B105" s="7" t="s">
        <v>161</v>
      </c>
      <c r="C105" s="8">
        <v>4.5299999999999994</v>
      </c>
      <c r="D105" s="8">
        <v>4.46</v>
      </c>
    </row>
    <row r="106" spans="2:4" x14ac:dyDescent="0.25">
      <c r="B106" s="7" t="s">
        <v>162</v>
      </c>
      <c r="C106" s="8">
        <v>4.4899999999999993</v>
      </c>
      <c r="D106" s="8"/>
    </row>
    <row r="107" spans="2:4" x14ac:dyDescent="0.25">
      <c r="B107" s="7" t="s">
        <v>163</v>
      </c>
      <c r="C107" s="8">
        <v>4.4999999999999991</v>
      </c>
      <c r="D107" s="8">
        <v>4.4199998999999996</v>
      </c>
    </row>
    <row r="108" spans="2:4" x14ac:dyDescent="0.25">
      <c r="B108" s="7" t="s">
        <v>164</v>
      </c>
      <c r="C108" s="8">
        <v>4.5799999999999992</v>
      </c>
      <c r="D108" s="8"/>
    </row>
    <row r="109" spans="2:4" x14ac:dyDescent="0.25">
      <c r="B109" s="7" t="s">
        <v>165</v>
      </c>
      <c r="C109" s="8">
        <v>4.5699999999999994</v>
      </c>
      <c r="D109" s="8"/>
    </row>
    <row r="110" spans="2:4" x14ac:dyDescent="0.25">
      <c r="B110" s="7" t="s">
        <v>166</v>
      </c>
      <c r="C110" s="8">
        <v>4.4699999999999989</v>
      </c>
      <c r="D110" s="8">
        <v>4.4200001000000002</v>
      </c>
    </row>
    <row r="111" spans="2:4" x14ac:dyDescent="0.25">
      <c r="B111" s="7" t="s">
        <v>167</v>
      </c>
      <c r="C111" s="8">
        <v>4.379999999999999</v>
      </c>
      <c r="D111" s="8"/>
    </row>
    <row r="112" spans="2:4" x14ac:dyDescent="0.25">
      <c r="B112" s="7" t="s">
        <v>168</v>
      </c>
      <c r="C112" s="8">
        <v>4.589999999999999</v>
      </c>
      <c r="D112" s="8">
        <v>4.4200001000000002</v>
      </c>
    </row>
    <row r="113" spans="2:4" x14ac:dyDescent="0.25">
      <c r="B113" s="7" t="s">
        <v>169</v>
      </c>
      <c r="C113" s="8">
        <v>4.6399999999999997</v>
      </c>
      <c r="D113" s="8"/>
    </row>
    <row r="114" spans="2:4" x14ac:dyDescent="0.25">
      <c r="B114" s="7" t="s">
        <v>170</v>
      </c>
      <c r="C114" s="8">
        <v>4.5099999999999989</v>
      </c>
      <c r="D114" s="8"/>
    </row>
    <row r="115" spans="2:4" x14ac:dyDescent="0.25">
      <c r="B115" s="7" t="s">
        <v>171</v>
      </c>
      <c r="C115" s="8">
        <v>4.5299999999999994</v>
      </c>
      <c r="D115" s="8"/>
    </row>
    <row r="116" spans="2:4" x14ac:dyDescent="0.25">
      <c r="B116" s="7" t="s">
        <v>172</v>
      </c>
      <c r="C116" s="8">
        <v>4.5599999999999996</v>
      </c>
      <c r="D116" s="8"/>
    </row>
    <row r="117" spans="2:4" x14ac:dyDescent="0.25">
      <c r="B117" s="7" t="s">
        <v>173</v>
      </c>
      <c r="C117" s="8">
        <v>4.6499999999999995</v>
      </c>
      <c r="D117" s="8"/>
    </row>
    <row r="118" spans="2:4" x14ac:dyDescent="0.25">
      <c r="B118" s="7" t="s">
        <v>174</v>
      </c>
      <c r="C118" s="8">
        <v>4.5599999999999996</v>
      </c>
      <c r="D118" s="8"/>
    </row>
    <row r="119" spans="2:4" x14ac:dyDescent="0.25">
      <c r="B119" s="7" t="s">
        <v>175</v>
      </c>
      <c r="C119" s="8">
        <v>4.6499999999999995</v>
      </c>
      <c r="D119" s="8">
        <v>4.49</v>
      </c>
    </row>
    <row r="120" spans="2:4" x14ac:dyDescent="0.25">
      <c r="B120" s="7" t="s">
        <v>176</v>
      </c>
      <c r="C120" s="8">
        <v>4.5999999999999996</v>
      </c>
      <c r="D120" s="8"/>
    </row>
    <row r="121" spans="2:4" x14ac:dyDescent="0.25">
      <c r="B121" s="7" t="s">
        <v>177</v>
      </c>
      <c r="C121" s="8">
        <v>4.6099999999999994</v>
      </c>
      <c r="D121" s="8"/>
    </row>
    <row r="122" spans="2:4" x14ac:dyDescent="0.25">
      <c r="B122" s="7" t="s">
        <v>178</v>
      </c>
      <c r="C122" s="8">
        <v>4.6599999999999993</v>
      </c>
      <c r="D122" s="8"/>
    </row>
    <row r="123" spans="2:4" x14ac:dyDescent="0.25">
      <c r="B123" s="7" t="s">
        <v>179</v>
      </c>
      <c r="C123" s="8">
        <v>4.5999999999999996</v>
      </c>
      <c r="D123" s="8">
        <v>4.57</v>
      </c>
    </row>
    <row r="124" spans="2:4" x14ac:dyDescent="0.25">
      <c r="B124" s="7" t="s">
        <v>180</v>
      </c>
      <c r="C124" s="8">
        <v>4.629999999999999</v>
      </c>
      <c r="D124" s="8"/>
    </row>
    <row r="125" spans="2:4" x14ac:dyDescent="0.25">
      <c r="B125" s="7" t="s">
        <v>181</v>
      </c>
      <c r="C125" s="8">
        <v>4.6099999999999994</v>
      </c>
      <c r="D125" s="8"/>
    </row>
    <row r="126" spans="2:4" x14ac:dyDescent="0.25">
      <c r="B126" s="7" t="s">
        <v>182</v>
      </c>
      <c r="C126" s="8">
        <v>4.669999999999999</v>
      </c>
      <c r="D126" s="8"/>
    </row>
    <row r="127" spans="2:4" x14ac:dyDescent="0.25">
      <c r="B127" s="7" t="s">
        <v>183</v>
      </c>
      <c r="C127" s="8">
        <v>4.5599999999999996</v>
      </c>
      <c r="D127" s="8"/>
    </row>
    <row r="128" spans="2:4" x14ac:dyDescent="0.25">
      <c r="B128" s="9">
        <v>46198</v>
      </c>
      <c r="C128" s="8">
        <v>4.63</v>
      </c>
      <c r="D128" s="8"/>
    </row>
    <row r="129" spans="2:5" x14ac:dyDescent="0.25">
      <c r="B129" s="9">
        <v>46202</v>
      </c>
      <c r="C129" s="8">
        <v>4.6900000000000004</v>
      </c>
      <c r="D129" s="8"/>
      <c r="E129">
        <v>4.57</v>
      </c>
    </row>
    <row r="130" spans="2:5" x14ac:dyDescent="0.25">
      <c r="B130" s="9">
        <v>46203</v>
      </c>
      <c r="C130" s="8">
        <v>4.6100000000000003</v>
      </c>
      <c r="D130" s="8"/>
    </row>
    <row r="131" spans="2:5" x14ac:dyDescent="0.25">
      <c r="B131" s="9">
        <v>46204</v>
      </c>
      <c r="C131" s="8">
        <v>4.59</v>
      </c>
      <c r="D131" s="8"/>
    </row>
    <row r="132" spans="2:5" x14ac:dyDescent="0.25">
      <c r="B132" s="9">
        <v>46205</v>
      </c>
      <c r="C132" s="8">
        <v>4.6500000000000004</v>
      </c>
      <c r="D132" s="8">
        <v>4.59</v>
      </c>
    </row>
    <row r="133" spans="2:5" x14ac:dyDescent="0.25">
      <c r="B133" s="9">
        <v>46209</v>
      </c>
      <c r="C133" s="8">
        <v>4.5600000000000005</v>
      </c>
      <c r="D133" s="8"/>
    </row>
    <row r="134" spans="2:5" x14ac:dyDescent="0.25">
      <c r="B134" s="9">
        <v>46210</v>
      </c>
      <c r="C134" s="8">
        <v>4.59</v>
      </c>
      <c r="D134" s="8"/>
    </row>
    <row r="135" spans="2:5" x14ac:dyDescent="0.25">
      <c r="B135" s="9">
        <v>46211</v>
      </c>
      <c r="C135" s="8">
        <v>4.3500000000000005</v>
      </c>
      <c r="D135" s="8"/>
    </row>
    <row r="136" spans="2:5" x14ac:dyDescent="0.25">
      <c r="B136" s="9">
        <v>46212</v>
      </c>
      <c r="C136" s="8">
        <v>4.54</v>
      </c>
      <c r="D136" s="8"/>
    </row>
    <row r="137" spans="2:5" x14ac:dyDescent="0.25">
      <c r="B137" s="9">
        <v>46213</v>
      </c>
      <c r="C137" s="8">
        <v>4.55</v>
      </c>
      <c r="D137" s="8">
        <v>4.41</v>
      </c>
    </row>
    <row r="138" spans="2:5" x14ac:dyDescent="0.25">
      <c r="B138" s="9">
        <v>46216</v>
      </c>
      <c r="C138" s="8">
        <v>4.45</v>
      </c>
      <c r="D138" s="8"/>
      <c r="E138">
        <v>4.59</v>
      </c>
    </row>
    <row r="139" spans="2:5" x14ac:dyDescent="0.25">
      <c r="B139" s="9">
        <v>46217</v>
      </c>
      <c r="C139" s="8">
        <v>4.58</v>
      </c>
      <c r="D139" s="8"/>
    </row>
    <row r="140" spans="2:5" x14ac:dyDescent="0.25">
      <c r="B140" s="9">
        <v>46218</v>
      </c>
      <c r="C140" s="8">
        <v>4.34</v>
      </c>
      <c r="D140" s="8"/>
    </row>
    <row r="141" spans="2:5" x14ac:dyDescent="0.25">
      <c r="B141" s="9">
        <v>46219</v>
      </c>
      <c r="C141" s="8">
        <v>4.22</v>
      </c>
      <c r="D141" s="8"/>
    </row>
    <row r="142" spans="2:5" x14ac:dyDescent="0.25">
      <c r="B142" s="9">
        <v>46220</v>
      </c>
      <c r="C142" s="8">
        <v>4.1500000000000004</v>
      </c>
      <c r="D142" s="8"/>
      <c r="E142">
        <v>3.97</v>
      </c>
    </row>
    <row r="143" spans="2:5" x14ac:dyDescent="0.25">
      <c r="B143" s="9">
        <v>46223</v>
      </c>
      <c r="C143" s="8">
        <v>4.3499999999999996</v>
      </c>
      <c r="D143" s="8">
        <v>4.26</v>
      </c>
      <c r="E143">
        <v>4.17</v>
      </c>
    </row>
    <row r="144" spans="2:5" x14ac:dyDescent="0.25">
      <c r="B144" s="9">
        <v>46224</v>
      </c>
      <c r="C144" s="8">
        <v>4.33</v>
      </c>
      <c r="D144" s="8"/>
      <c r="E144">
        <v>4.1500000000000004</v>
      </c>
    </row>
    <row r="145" spans="2:6" x14ac:dyDescent="0.25">
      <c r="B145" s="9">
        <v>46225</v>
      </c>
      <c r="C145" s="8">
        <v>4.34</v>
      </c>
      <c r="D145" s="8"/>
      <c r="E145">
        <v>4.16</v>
      </c>
    </row>
    <row r="146" spans="2:6" x14ac:dyDescent="0.25">
      <c r="B146" s="9">
        <v>46226</v>
      </c>
      <c r="C146" s="8">
        <v>4.26</v>
      </c>
      <c r="D146" s="8"/>
      <c r="E146">
        <v>4.08</v>
      </c>
      <c r="F146">
        <v>4.26</v>
      </c>
    </row>
    <row r="147" spans="2:6" x14ac:dyDescent="0.25">
      <c r="B147" s="9">
        <v>46227</v>
      </c>
      <c r="C147" s="8">
        <v>4.22</v>
      </c>
      <c r="D147" s="8"/>
      <c r="E147">
        <v>4.04</v>
      </c>
    </row>
    <row r="148" spans="2:6" x14ac:dyDescent="0.25">
      <c r="B148" s="9">
        <v>46230</v>
      </c>
      <c r="C148" s="8">
        <v>4.2799999999999994</v>
      </c>
      <c r="D148" s="8">
        <v>4.28</v>
      </c>
      <c r="E148">
        <v>4.0999999999999996</v>
      </c>
    </row>
    <row r="149" spans="2:6" x14ac:dyDescent="0.25">
      <c r="B149" s="9">
        <v>46231</v>
      </c>
      <c r="C149" s="8">
        <v>4.1399999999999997</v>
      </c>
      <c r="D149" s="8"/>
      <c r="E149">
        <v>3.96</v>
      </c>
    </row>
    <row r="150" spans="2:6" x14ac:dyDescent="0.25">
      <c r="B150" s="9">
        <v>46232</v>
      </c>
      <c r="C150" s="8">
        <v>4.17</v>
      </c>
      <c r="D150" s="8"/>
      <c r="E150">
        <v>3.99</v>
      </c>
    </row>
    <row r="151" spans="2:6" x14ac:dyDescent="0.25">
      <c r="B151" s="9">
        <v>46233</v>
      </c>
      <c r="C151" s="8">
        <v>4.1999999999999993</v>
      </c>
      <c r="D151" s="8"/>
      <c r="E151">
        <v>4.0199999999999996</v>
      </c>
      <c r="F151">
        <v>4.28</v>
      </c>
    </row>
    <row r="152" spans="2:6" x14ac:dyDescent="0.25">
      <c r="B152" s="9">
        <v>46234</v>
      </c>
      <c r="C152" s="8">
        <v>4.2299999999999995</v>
      </c>
      <c r="D152" s="8"/>
      <c r="E152">
        <v>4.05</v>
      </c>
    </row>
    <row r="153" spans="2:6" x14ac:dyDescent="0.25">
      <c r="B153" s="9">
        <v>46237</v>
      </c>
      <c r="C153" s="8">
        <v>4.22</v>
      </c>
      <c r="D153" s="8"/>
      <c r="E153">
        <v>4.04</v>
      </c>
    </row>
    <row r="154" spans="2:6" x14ac:dyDescent="0.25">
      <c r="B154" s="9">
        <v>46238</v>
      </c>
      <c r="C154" s="8">
        <v>4.2299999999999995</v>
      </c>
      <c r="D154" s="8"/>
      <c r="E154">
        <v>4.05</v>
      </c>
    </row>
    <row r="155" spans="2:6" x14ac:dyDescent="0.25">
      <c r="B155" s="9">
        <v>46239</v>
      </c>
      <c r="C155" s="8">
        <v>4.16</v>
      </c>
      <c r="D155" s="8"/>
      <c r="E155">
        <v>3.98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F036-C4D7-4C7F-A46E-B20A44632319}">
  <dimension ref="C3:E19"/>
  <sheetViews>
    <sheetView workbookViewId="0">
      <selection activeCell="D10" sqref="D10"/>
    </sheetView>
  </sheetViews>
  <sheetFormatPr defaultRowHeight="15" x14ac:dyDescent="0.25"/>
  <cols>
    <col min="3" max="3" width="14.140625" bestFit="1" customWidth="1"/>
    <col min="4" max="4" width="15.28515625" bestFit="1" customWidth="1"/>
    <col min="5" max="5" width="14.28515625" bestFit="1" customWidth="1"/>
  </cols>
  <sheetData>
    <row r="3" spans="3:5" x14ac:dyDescent="0.25">
      <c r="C3" s="7" t="s">
        <v>15</v>
      </c>
      <c r="D3" s="7" t="s">
        <v>10</v>
      </c>
      <c r="E3" s="7" t="s">
        <v>39</v>
      </c>
    </row>
    <row r="4" spans="3:5" x14ac:dyDescent="0.25">
      <c r="C4" s="7" t="s">
        <v>227</v>
      </c>
      <c r="D4" s="8">
        <v>15520853.789999999</v>
      </c>
      <c r="E4" s="8">
        <v>2158325.56</v>
      </c>
    </row>
    <row r="5" spans="3:5" x14ac:dyDescent="0.25">
      <c r="C5" s="7" t="s">
        <v>239</v>
      </c>
      <c r="D5" s="8">
        <f>D4/12</f>
        <v>1293404.4824999999</v>
      </c>
      <c r="E5" s="8">
        <f>E4/12</f>
        <v>179860.46333333335</v>
      </c>
    </row>
    <row r="6" spans="3:5" x14ac:dyDescent="0.25">
      <c r="C6" s="7" t="s">
        <v>237</v>
      </c>
      <c r="D6" s="8">
        <v>8817263.6600000001</v>
      </c>
      <c r="E6" s="8">
        <v>1242029.71</v>
      </c>
    </row>
    <row r="7" spans="3:5" x14ac:dyDescent="0.25">
      <c r="C7" s="7" t="s">
        <v>238</v>
      </c>
      <c r="D7" s="8">
        <f>D6/7</f>
        <v>1259609.0942857142</v>
      </c>
      <c r="E7" s="8">
        <f>E6/7</f>
        <v>177432.81571428571</v>
      </c>
    </row>
    <row r="8" spans="3:5" x14ac:dyDescent="0.25">
      <c r="C8" t="s">
        <v>228</v>
      </c>
      <c r="D8" s="10">
        <v>1325698.24</v>
      </c>
      <c r="E8" s="10">
        <v>245415.15</v>
      </c>
    </row>
    <row r="9" spans="3:5" x14ac:dyDescent="0.25">
      <c r="C9" t="s">
        <v>229</v>
      </c>
      <c r="D9" s="10">
        <v>1188990.72</v>
      </c>
      <c r="E9" s="10">
        <v>138304.81</v>
      </c>
    </row>
    <row r="10" spans="3:5" x14ac:dyDescent="0.25">
      <c r="C10" t="s">
        <v>230</v>
      </c>
      <c r="D10" s="10">
        <v>1614650.34</v>
      </c>
      <c r="E10" s="10">
        <v>215806.1</v>
      </c>
    </row>
    <row r="11" spans="3:5" x14ac:dyDescent="0.25">
      <c r="C11" t="s">
        <v>231</v>
      </c>
      <c r="D11" s="10">
        <v>1403205.37</v>
      </c>
      <c r="E11" s="10">
        <v>237457.48</v>
      </c>
    </row>
    <row r="12" spans="3:5" x14ac:dyDescent="0.25">
      <c r="C12" t="s">
        <v>232</v>
      </c>
      <c r="D12" s="10">
        <v>1183673.21</v>
      </c>
      <c r="E12" s="10">
        <v>149296.85999999999</v>
      </c>
    </row>
    <row r="13" spans="3:5" x14ac:dyDescent="0.25">
      <c r="C13" t="s">
        <v>233</v>
      </c>
      <c r="D13" s="10">
        <v>1289298.07</v>
      </c>
      <c r="E13" s="10">
        <v>63267.48</v>
      </c>
    </row>
    <row r="14" spans="3:5" x14ac:dyDescent="0.25">
      <c r="C14" t="s">
        <v>234</v>
      </c>
      <c r="D14" s="10">
        <v>811747.71</v>
      </c>
      <c r="E14" s="10">
        <v>192481.83</v>
      </c>
    </row>
    <row r="15" spans="3:5" x14ac:dyDescent="0.25">
      <c r="C15" t="s">
        <v>235</v>
      </c>
    </row>
    <row r="16" spans="3:5" x14ac:dyDescent="0.25">
      <c r="C16" t="s">
        <v>236</v>
      </c>
    </row>
    <row r="17" spans="3:3" x14ac:dyDescent="0.25">
      <c r="C17" t="s">
        <v>240</v>
      </c>
    </row>
    <row r="18" spans="3:3" x14ac:dyDescent="0.25">
      <c r="C18" t="s">
        <v>241</v>
      </c>
    </row>
    <row r="19" spans="3:3" x14ac:dyDescent="0.25">
      <c r="C19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735F-D076-4A2C-9627-3496A0571C22}">
  <dimension ref="B2:J103"/>
  <sheetViews>
    <sheetView tabSelected="1" workbookViewId="0">
      <selection activeCell="B3" sqref="B3"/>
    </sheetView>
  </sheetViews>
  <sheetFormatPr defaultRowHeight="15" x14ac:dyDescent="0.25"/>
  <cols>
    <col min="2" max="2" width="29.140625" bestFit="1" customWidth="1"/>
    <col min="3" max="3" width="5.42578125" bestFit="1" customWidth="1"/>
    <col min="5" max="5" width="20.7109375" bestFit="1" customWidth="1"/>
    <col min="6" max="6" width="7" bestFit="1" customWidth="1"/>
    <col min="7" max="7" width="5.42578125" bestFit="1" customWidth="1"/>
    <col min="8" max="8" width="22.85546875" bestFit="1" customWidth="1"/>
    <col min="9" max="9" width="3" bestFit="1" customWidth="1"/>
  </cols>
  <sheetData>
    <row r="2" spans="2:10" x14ac:dyDescent="0.25">
      <c r="B2" t="s">
        <v>362</v>
      </c>
    </row>
    <row r="4" spans="2:10" ht="26.25" x14ac:dyDescent="0.25">
      <c r="B4" s="14" t="s">
        <v>15</v>
      </c>
      <c r="C4" s="14" t="s">
        <v>249</v>
      </c>
      <c r="E4" s="20" t="s">
        <v>15</v>
      </c>
      <c r="F4" s="20" t="s">
        <v>349</v>
      </c>
      <c r="G4" s="20" t="s">
        <v>350</v>
      </c>
      <c r="H4" s="7" t="s">
        <v>357</v>
      </c>
      <c r="I4" s="7"/>
      <c r="J4" s="7"/>
    </row>
    <row r="5" spans="2:10" x14ac:dyDescent="0.25">
      <c r="B5" s="15" t="s">
        <v>250</v>
      </c>
      <c r="C5" s="16">
        <v>275</v>
      </c>
      <c r="E5" s="24" t="s">
        <v>351</v>
      </c>
      <c r="F5" s="25">
        <f>SUM(C5:C35)</f>
        <v>4138</v>
      </c>
      <c r="G5" s="25">
        <f>SUM(C5:C21)/72+C35/45</f>
        <v>61.322222222222223</v>
      </c>
      <c r="H5" s="7" t="s">
        <v>355</v>
      </c>
      <c r="I5" s="7">
        <f>COUNTIF(C5:C15,"&lt;100")+COUNTIF(C20:C21,"&lt;100")</f>
        <v>0</v>
      </c>
      <c r="J5" s="7" t="s">
        <v>360</v>
      </c>
    </row>
    <row r="6" spans="2:10" x14ac:dyDescent="0.25">
      <c r="B6" s="15" t="s">
        <v>251</v>
      </c>
      <c r="C6" s="16">
        <v>248</v>
      </c>
      <c r="E6" s="24"/>
      <c r="F6" s="25"/>
      <c r="G6" s="25"/>
      <c r="H6" s="7" t="s">
        <v>356</v>
      </c>
      <c r="I6" s="7">
        <f>COUNTIF(C5:C15,"&gt;300")+COUNTIF(C20:C21,"&gt;300")</f>
        <v>4</v>
      </c>
      <c r="J6" s="7" t="s">
        <v>360</v>
      </c>
    </row>
    <row r="7" spans="2:10" x14ac:dyDescent="0.25">
      <c r="B7" s="15" t="s">
        <v>252</v>
      </c>
      <c r="C7" s="16">
        <v>370</v>
      </c>
      <c r="E7" s="20" t="s">
        <v>352</v>
      </c>
      <c r="F7" s="20">
        <v>0</v>
      </c>
      <c r="G7" s="21">
        <v>0</v>
      </c>
      <c r="H7" s="7"/>
      <c r="I7" s="7"/>
      <c r="J7" s="7"/>
    </row>
    <row r="8" spans="2:10" x14ac:dyDescent="0.25">
      <c r="B8" s="15" t="s">
        <v>253</v>
      </c>
      <c r="C8" s="16">
        <v>258</v>
      </c>
      <c r="E8" s="20" t="s">
        <v>361</v>
      </c>
      <c r="F8" s="20">
        <f>SUM(C49:C56)</f>
        <v>429</v>
      </c>
      <c r="G8" s="21">
        <f>F8/84</f>
        <v>5.1071428571428568</v>
      </c>
      <c r="H8" s="7"/>
      <c r="I8" s="7"/>
      <c r="J8" s="7"/>
    </row>
    <row r="9" spans="2:10" x14ac:dyDescent="0.25">
      <c r="B9" s="15" t="s">
        <v>254</v>
      </c>
      <c r="C9" s="16">
        <v>283</v>
      </c>
      <c r="E9" s="20" t="s">
        <v>353</v>
      </c>
      <c r="F9" s="22">
        <f>C62</f>
        <v>2590</v>
      </c>
      <c r="G9" s="21">
        <f>F9/84</f>
        <v>30.833333333333332</v>
      </c>
      <c r="H9" s="7"/>
      <c r="I9" s="7"/>
      <c r="J9" s="7"/>
    </row>
    <row r="10" spans="2:10" x14ac:dyDescent="0.25">
      <c r="B10" s="15" t="s">
        <v>255</v>
      </c>
      <c r="C10" s="16">
        <v>318</v>
      </c>
      <c r="E10" s="24" t="s">
        <v>354</v>
      </c>
      <c r="F10" s="26">
        <f>C81</f>
        <v>4076</v>
      </c>
      <c r="G10" s="27">
        <f>F10/42</f>
        <v>97.047619047619051</v>
      </c>
      <c r="H10" s="7" t="s">
        <v>358</v>
      </c>
      <c r="I10" s="23">
        <f>39296/42/24</f>
        <v>38.984126984126981</v>
      </c>
      <c r="J10" s="7" t="s">
        <v>350</v>
      </c>
    </row>
    <row r="11" spans="2:10" x14ac:dyDescent="0.25">
      <c r="B11" s="15" t="s">
        <v>256</v>
      </c>
      <c r="C11" s="16">
        <v>256</v>
      </c>
      <c r="E11" s="24"/>
      <c r="F11" s="26"/>
      <c r="G11" s="27"/>
      <c r="H11" s="7" t="s">
        <v>359</v>
      </c>
      <c r="I11" s="7">
        <f>84672/42/24</f>
        <v>84</v>
      </c>
      <c r="J11" s="7" t="s">
        <v>350</v>
      </c>
    </row>
    <row r="12" spans="2:10" x14ac:dyDescent="0.25">
      <c r="B12" s="15" t="s">
        <v>257</v>
      </c>
      <c r="C12" s="16">
        <v>241</v>
      </c>
    </row>
    <row r="13" spans="2:10" x14ac:dyDescent="0.25">
      <c r="B13" s="15" t="s">
        <v>258</v>
      </c>
      <c r="C13" s="16">
        <v>201</v>
      </c>
    </row>
    <row r="14" spans="2:10" x14ac:dyDescent="0.25">
      <c r="B14" s="15" t="s">
        <v>259</v>
      </c>
      <c r="C14" s="16">
        <v>256</v>
      </c>
    </row>
    <row r="15" spans="2:10" x14ac:dyDescent="0.25">
      <c r="B15" s="15" t="s">
        <v>260</v>
      </c>
      <c r="C15" s="16">
        <v>269</v>
      </c>
    </row>
    <row r="16" spans="2:10" x14ac:dyDescent="0.25">
      <c r="B16" s="15" t="s">
        <v>261</v>
      </c>
      <c r="C16" s="16">
        <v>0</v>
      </c>
    </row>
    <row r="17" spans="2:3" x14ac:dyDescent="0.25">
      <c r="B17" s="15" t="s">
        <v>262</v>
      </c>
      <c r="C17" s="16">
        <v>0</v>
      </c>
    </row>
    <row r="18" spans="2:3" x14ac:dyDescent="0.25">
      <c r="B18" s="15" t="s">
        <v>263</v>
      </c>
      <c r="C18" s="16">
        <v>0</v>
      </c>
    </row>
    <row r="19" spans="2:3" x14ac:dyDescent="0.25">
      <c r="B19" s="15" t="s">
        <v>264</v>
      </c>
      <c r="C19" s="16">
        <v>0</v>
      </c>
    </row>
    <row r="20" spans="2:3" x14ac:dyDescent="0.25">
      <c r="B20" s="15" t="s">
        <v>265</v>
      </c>
      <c r="C20" s="16">
        <v>322</v>
      </c>
    </row>
    <row r="21" spans="2:3" x14ac:dyDescent="0.25">
      <c r="B21" s="15" t="s">
        <v>266</v>
      </c>
      <c r="C21" s="16">
        <v>379</v>
      </c>
    </row>
    <row r="22" spans="2:3" x14ac:dyDescent="0.25">
      <c r="B22" s="15" t="s">
        <v>267</v>
      </c>
      <c r="C22" s="16">
        <v>0</v>
      </c>
    </row>
    <row r="23" spans="2:3" x14ac:dyDescent="0.25">
      <c r="B23" s="15" t="s">
        <v>268</v>
      </c>
      <c r="C23" s="16">
        <v>0</v>
      </c>
    </row>
    <row r="24" spans="2:3" x14ac:dyDescent="0.25">
      <c r="B24" s="15" t="s">
        <v>269</v>
      </c>
      <c r="C24" s="16">
        <v>0</v>
      </c>
    </row>
    <row r="25" spans="2:3" x14ac:dyDescent="0.25">
      <c r="B25" s="15" t="s">
        <v>270</v>
      </c>
      <c r="C25" s="16">
        <v>0</v>
      </c>
    </row>
    <row r="26" spans="2:3" x14ac:dyDescent="0.25">
      <c r="B26" s="15" t="s">
        <v>271</v>
      </c>
      <c r="C26" s="16">
        <v>0</v>
      </c>
    </row>
    <row r="27" spans="2:3" x14ac:dyDescent="0.25">
      <c r="B27" s="15" t="s">
        <v>272</v>
      </c>
      <c r="C27" s="16">
        <v>0</v>
      </c>
    </row>
    <row r="28" spans="2:3" x14ac:dyDescent="0.25">
      <c r="B28" s="15" t="s">
        <v>273</v>
      </c>
      <c r="C28" s="16">
        <v>0</v>
      </c>
    </row>
    <row r="29" spans="2:3" x14ac:dyDescent="0.25">
      <c r="B29" s="15" t="s">
        <v>274</v>
      </c>
      <c r="C29" s="16">
        <v>0</v>
      </c>
    </row>
    <row r="30" spans="2:3" x14ac:dyDescent="0.25">
      <c r="B30" s="15" t="s">
        <v>275</v>
      </c>
      <c r="C30" s="16">
        <v>0</v>
      </c>
    </row>
    <row r="31" spans="2:3" x14ac:dyDescent="0.25">
      <c r="B31" s="15" t="s">
        <v>276</v>
      </c>
      <c r="C31" s="16">
        <v>0</v>
      </c>
    </row>
    <row r="32" spans="2:3" x14ac:dyDescent="0.25">
      <c r="B32" s="15" t="s">
        <v>277</v>
      </c>
      <c r="C32" s="16">
        <v>0</v>
      </c>
    </row>
    <row r="33" spans="2:3" x14ac:dyDescent="0.25">
      <c r="B33" s="15" t="s">
        <v>278</v>
      </c>
      <c r="C33" s="16">
        <v>0</v>
      </c>
    </row>
    <row r="34" spans="2:3" x14ac:dyDescent="0.25">
      <c r="B34" s="15" t="s">
        <v>279</v>
      </c>
      <c r="C34" s="16">
        <v>0</v>
      </c>
    </row>
    <row r="35" spans="2:3" x14ac:dyDescent="0.25">
      <c r="B35" s="15" t="s">
        <v>280</v>
      </c>
      <c r="C35" s="16">
        <v>462</v>
      </c>
    </row>
    <row r="36" spans="2:3" x14ac:dyDescent="0.25">
      <c r="B36" s="15" t="s">
        <v>281</v>
      </c>
      <c r="C36" s="16">
        <v>0</v>
      </c>
    </row>
    <row r="37" spans="2:3" x14ac:dyDescent="0.25">
      <c r="B37" s="15" t="s">
        <v>282</v>
      </c>
      <c r="C37" s="16">
        <v>0</v>
      </c>
    </row>
    <row r="38" spans="2:3" x14ac:dyDescent="0.25">
      <c r="B38" s="15" t="s">
        <v>283</v>
      </c>
      <c r="C38" s="17">
        <v>0</v>
      </c>
    </row>
    <row r="39" spans="2:3" x14ac:dyDescent="0.25">
      <c r="B39" s="15" t="s">
        <v>284</v>
      </c>
      <c r="C39" s="16">
        <v>0</v>
      </c>
    </row>
    <row r="40" spans="2:3" x14ac:dyDescent="0.25">
      <c r="B40" s="15" t="s">
        <v>285</v>
      </c>
      <c r="C40" s="17">
        <v>0</v>
      </c>
    </row>
    <row r="41" spans="2:3" x14ac:dyDescent="0.25">
      <c r="B41" s="15" t="s">
        <v>286</v>
      </c>
      <c r="C41" s="17">
        <v>0</v>
      </c>
    </row>
    <row r="42" spans="2:3" x14ac:dyDescent="0.25">
      <c r="B42" s="15" t="s">
        <v>287</v>
      </c>
      <c r="C42" s="17">
        <v>0</v>
      </c>
    </row>
    <row r="43" spans="2:3" x14ac:dyDescent="0.25">
      <c r="B43" s="15" t="s">
        <v>288</v>
      </c>
      <c r="C43" s="17">
        <v>0</v>
      </c>
    </row>
    <row r="44" spans="2:3" x14ac:dyDescent="0.25">
      <c r="B44" s="15" t="s">
        <v>289</v>
      </c>
      <c r="C44" s="16">
        <v>0</v>
      </c>
    </row>
    <row r="45" spans="2:3" x14ac:dyDescent="0.25">
      <c r="B45" s="15" t="s">
        <v>290</v>
      </c>
      <c r="C45" s="16">
        <v>0</v>
      </c>
    </row>
    <row r="46" spans="2:3" x14ac:dyDescent="0.25">
      <c r="B46" s="15" t="s">
        <v>291</v>
      </c>
      <c r="C46" s="16">
        <v>0</v>
      </c>
    </row>
    <row r="47" spans="2:3" x14ac:dyDescent="0.25">
      <c r="B47" s="15" t="s">
        <v>292</v>
      </c>
      <c r="C47" s="16">
        <v>0</v>
      </c>
    </row>
    <row r="48" spans="2:3" x14ac:dyDescent="0.25">
      <c r="B48" s="18" t="s">
        <v>293</v>
      </c>
      <c r="C48" s="16">
        <v>0</v>
      </c>
    </row>
    <row r="49" spans="2:3" x14ac:dyDescent="0.25">
      <c r="B49" s="15" t="s">
        <v>294</v>
      </c>
      <c r="C49" s="16">
        <v>0</v>
      </c>
    </row>
    <row r="50" spans="2:3" x14ac:dyDescent="0.25">
      <c r="B50" s="15" t="s">
        <v>295</v>
      </c>
      <c r="C50" s="16">
        <v>0</v>
      </c>
    </row>
    <row r="51" spans="2:3" x14ac:dyDescent="0.25">
      <c r="B51" s="15" t="s">
        <v>296</v>
      </c>
      <c r="C51" s="17">
        <v>78</v>
      </c>
    </row>
    <row r="52" spans="2:3" x14ac:dyDescent="0.25">
      <c r="B52" s="15" t="s">
        <v>297</v>
      </c>
      <c r="C52" s="16">
        <v>0</v>
      </c>
    </row>
    <row r="53" spans="2:3" x14ac:dyDescent="0.25">
      <c r="B53" s="15" t="s">
        <v>298</v>
      </c>
      <c r="C53" s="16">
        <v>0</v>
      </c>
    </row>
    <row r="54" spans="2:3" x14ac:dyDescent="0.25">
      <c r="B54" s="15" t="s">
        <v>299</v>
      </c>
      <c r="C54" s="16">
        <v>160</v>
      </c>
    </row>
    <row r="55" spans="2:3" x14ac:dyDescent="0.25">
      <c r="B55" s="15" t="s">
        <v>300</v>
      </c>
      <c r="C55" s="16">
        <v>191</v>
      </c>
    </row>
    <row r="56" spans="2:3" x14ac:dyDescent="0.25">
      <c r="B56" s="15" t="s">
        <v>301</v>
      </c>
      <c r="C56" s="16">
        <v>0</v>
      </c>
    </row>
    <row r="57" spans="2:3" x14ac:dyDescent="0.25">
      <c r="B57" s="15" t="s">
        <v>302</v>
      </c>
      <c r="C57" s="17">
        <v>0</v>
      </c>
    </row>
    <row r="58" spans="2:3" x14ac:dyDescent="0.25">
      <c r="B58" s="15" t="s">
        <v>303</v>
      </c>
      <c r="C58" s="17">
        <v>0</v>
      </c>
    </row>
    <row r="59" spans="2:3" x14ac:dyDescent="0.25">
      <c r="B59" s="15" t="s">
        <v>304</v>
      </c>
      <c r="C59" s="17">
        <v>0</v>
      </c>
    </row>
    <row r="60" spans="2:3" x14ac:dyDescent="0.25">
      <c r="B60" s="15" t="s">
        <v>305</v>
      </c>
      <c r="C60" s="17">
        <v>0</v>
      </c>
    </row>
    <row r="61" spans="2:3" x14ac:dyDescent="0.25">
      <c r="B61" s="15" t="s">
        <v>306</v>
      </c>
      <c r="C61" s="17">
        <v>0</v>
      </c>
    </row>
    <row r="62" spans="2:3" x14ac:dyDescent="0.25">
      <c r="B62" s="15" t="s">
        <v>307</v>
      </c>
      <c r="C62" s="19">
        <v>2590</v>
      </c>
    </row>
    <row r="63" spans="2:3" x14ac:dyDescent="0.25">
      <c r="B63" s="15" t="s">
        <v>308</v>
      </c>
      <c r="C63" s="16">
        <v>0</v>
      </c>
    </row>
    <row r="64" spans="2:3" x14ac:dyDescent="0.25">
      <c r="B64" s="15" t="s">
        <v>309</v>
      </c>
      <c r="C64" s="16">
        <v>0</v>
      </c>
    </row>
    <row r="65" spans="2:3" x14ac:dyDescent="0.25">
      <c r="B65" s="15" t="s">
        <v>310</v>
      </c>
      <c r="C65" s="16">
        <v>0</v>
      </c>
    </row>
    <row r="66" spans="2:3" x14ac:dyDescent="0.25">
      <c r="B66" s="15" t="s">
        <v>311</v>
      </c>
      <c r="C66" s="16">
        <v>0</v>
      </c>
    </row>
    <row r="67" spans="2:3" x14ac:dyDescent="0.25">
      <c r="B67" s="15" t="s">
        <v>312</v>
      </c>
      <c r="C67" s="16">
        <v>0</v>
      </c>
    </row>
    <row r="68" spans="2:3" x14ac:dyDescent="0.25">
      <c r="B68" s="15" t="s">
        <v>313</v>
      </c>
      <c r="C68" s="16">
        <v>0</v>
      </c>
    </row>
    <row r="69" spans="2:3" x14ac:dyDescent="0.25">
      <c r="B69" s="15" t="s">
        <v>314</v>
      </c>
      <c r="C69" s="16">
        <v>0</v>
      </c>
    </row>
    <row r="70" spans="2:3" x14ac:dyDescent="0.25">
      <c r="B70" s="15" t="s">
        <v>315</v>
      </c>
      <c r="C70" s="16">
        <v>0</v>
      </c>
    </row>
    <row r="71" spans="2:3" x14ac:dyDescent="0.25">
      <c r="B71" s="15" t="s">
        <v>316</v>
      </c>
      <c r="C71" s="16">
        <v>0</v>
      </c>
    </row>
    <row r="72" spans="2:3" x14ac:dyDescent="0.25">
      <c r="B72" s="15" t="s">
        <v>317</v>
      </c>
      <c r="C72" s="16">
        <v>0</v>
      </c>
    </row>
    <row r="73" spans="2:3" x14ac:dyDescent="0.25">
      <c r="B73" s="15" t="s">
        <v>318</v>
      </c>
      <c r="C73" s="16">
        <v>0</v>
      </c>
    </row>
    <row r="74" spans="2:3" x14ac:dyDescent="0.25">
      <c r="B74" s="15" t="s">
        <v>319</v>
      </c>
      <c r="C74" s="16">
        <v>0</v>
      </c>
    </row>
    <row r="75" spans="2:3" x14ac:dyDescent="0.25">
      <c r="B75" s="15" t="s">
        <v>320</v>
      </c>
      <c r="C75" s="16">
        <v>0</v>
      </c>
    </row>
    <row r="76" spans="2:3" x14ac:dyDescent="0.25">
      <c r="B76" s="15" t="s">
        <v>321</v>
      </c>
      <c r="C76" s="16">
        <v>0</v>
      </c>
    </row>
    <row r="77" spans="2:3" x14ac:dyDescent="0.25">
      <c r="B77" s="15" t="s">
        <v>322</v>
      </c>
      <c r="C77" s="16">
        <v>0</v>
      </c>
    </row>
    <row r="78" spans="2:3" x14ac:dyDescent="0.25">
      <c r="B78" s="15" t="s">
        <v>323</v>
      </c>
      <c r="C78" s="16">
        <v>0</v>
      </c>
    </row>
    <row r="79" spans="2:3" x14ac:dyDescent="0.25">
      <c r="B79" s="15" t="s">
        <v>324</v>
      </c>
      <c r="C79" s="16">
        <v>0</v>
      </c>
    </row>
    <row r="80" spans="2:3" x14ac:dyDescent="0.25">
      <c r="B80" s="15" t="s">
        <v>325</v>
      </c>
      <c r="C80" s="16">
        <v>0</v>
      </c>
    </row>
    <row r="81" spans="2:3" x14ac:dyDescent="0.25">
      <c r="B81" s="15" t="s">
        <v>326</v>
      </c>
      <c r="C81" s="19">
        <v>4076</v>
      </c>
    </row>
    <row r="82" spans="2:3" x14ac:dyDescent="0.25">
      <c r="B82" s="15" t="s">
        <v>327</v>
      </c>
      <c r="C82" s="16">
        <v>0</v>
      </c>
    </row>
    <row r="83" spans="2:3" x14ac:dyDescent="0.25">
      <c r="B83" s="15" t="s">
        <v>328</v>
      </c>
      <c r="C83" s="16">
        <v>0</v>
      </c>
    </row>
    <row r="84" spans="2:3" x14ac:dyDescent="0.25">
      <c r="B84" s="15" t="s">
        <v>329</v>
      </c>
      <c r="C84" s="16">
        <v>0</v>
      </c>
    </row>
    <row r="85" spans="2:3" x14ac:dyDescent="0.25">
      <c r="B85" s="15" t="s">
        <v>330</v>
      </c>
      <c r="C85" s="16">
        <v>0</v>
      </c>
    </row>
    <row r="86" spans="2:3" x14ac:dyDescent="0.25">
      <c r="B86" s="15" t="s">
        <v>331</v>
      </c>
      <c r="C86" s="16">
        <v>0</v>
      </c>
    </row>
    <row r="87" spans="2:3" x14ac:dyDescent="0.25">
      <c r="B87" s="15" t="s">
        <v>332</v>
      </c>
      <c r="C87" s="16">
        <v>0</v>
      </c>
    </row>
    <row r="88" spans="2:3" x14ac:dyDescent="0.25">
      <c r="B88" s="15" t="s">
        <v>333</v>
      </c>
      <c r="C88" s="16">
        <v>0</v>
      </c>
    </row>
    <row r="89" spans="2:3" x14ac:dyDescent="0.25">
      <c r="B89" s="15" t="s">
        <v>334</v>
      </c>
      <c r="C89" s="16">
        <v>0</v>
      </c>
    </row>
    <row r="90" spans="2:3" x14ac:dyDescent="0.25">
      <c r="B90" s="15" t="s">
        <v>335</v>
      </c>
      <c r="C90" s="16">
        <v>0</v>
      </c>
    </row>
    <row r="91" spans="2:3" x14ac:dyDescent="0.25">
      <c r="B91" s="15" t="s">
        <v>336</v>
      </c>
      <c r="C91" s="16">
        <v>0</v>
      </c>
    </row>
    <row r="92" spans="2:3" x14ac:dyDescent="0.25">
      <c r="B92" s="15" t="s">
        <v>337</v>
      </c>
      <c r="C92" s="16">
        <v>0</v>
      </c>
    </row>
    <row r="93" spans="2:3" x14ac:dyDescent="0.25">
      <c r="B93" s="15" t="s">
        <v>338</v>
      </c>
      <c r="C93" s="16">
        <v>0</v>
      </c>
    </row>
    <row r="94" spans="2:3" x14ac:dyDescent="0.25">
      <c r="B94" s="15" t="s">
        <v>339</v>
      </c>
      <c r="C94" s="16">
        <v>0</v>
      </c>
    </row>
    <row r="95" spans="2:3" x14ac:dyDescent="0.25">
      <c r="B95" s="15" t="s">
        <v>340</v>
      </c>
      <c r="C95" s="16">
        <v>0</v>
      </c>
    </row>
    <row r="96" spans="2:3" x14ac:dyDescent="0.25">
      <c r="B96" s="15" t="s">
        <v>341</v>
      </c>
      <c r="C96" s="16">
        <v>0</v>
      </c>
    </row>
    <row r="97" spans="2:3" x14ac:dyDescent="0.25">
      <c r="B97" s="15" t="s">
        <v>342</v>
      </c>
      <c r="C97" s="16">
        <v>0</v>
      </c>
    </row>
    <row r="98" spans="2:3" x14ac:dyDescent="0.25">
      <c r="B98" s="15" t="s">
        <v>343</v>
      </c>
      <c r="C98" s="16">
        <v>0</v>
      </c>
    </row>
    <row r="99" spans="2:3" x14ac:dyDescent="0.25">
      <c r="B99" s="15" t="s">
        <v>344</v>
      </c>
      <c r="C99" s="16">
        <v>0</v>
      </c>
    </row>
    <row r="100" spans="2:3" x14ac:dyDescent="0.25">
      <c r="B100" s="15" t="s">
        <v>345</v>
      </c>
      <c r="C100" s="16">
        <v>0</v>
      </c>
    </row>
    <row r="101" spans="2:3" x14ac:dyDescent="0.25">
      <c r="B101" s="15" t="s">
        <v>346</v>
      </c>
      <c r="C101" s="16">
        <v>0</v>
      </c>
    </row>
    <row r="102" spans="2:3" x14ac:dyDescent="0.25">
      <c r="B102" s="15" t="s">
        <v>347</v>
      </c>
      <c r="C102" s="16">
        <v>0</v>
      </c>
    </row>
    <row r="103" spans="2:3" x14ac:dyDescent="0.25">
      <c r="B103" s="15" t="s">
        <v>348</v>
      </c>
      <c r="C103" s="16">
        <v>0</v>
      </c>
    </row>
  </sheetData>
  <mergeCells count="6">
    <mergeCell ref="E5:E6"/>
    <mergeCell ref="F5:F6"/>
    <mergeCell ref="G5:G6"/>
    <mergeCell ref="E10:E11"/>
    <mergeCell ref="F10:F11"/>
    <mergeCell ref="G10:G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인사및일정</vt:lpstr>
      <vt:lpstr>재고현황</vt:lpstr>
      <vt:lpstr>운영스케줄</vt:lpstr>
      <vt:lpstr>소전각 가격</vt:lpstr>
      <vt:lpstr>원부자재 구매액</vt:lpstr>
      <vt:lpstr>월별 재고 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정인상(Matthew Joung∙Senior Manager) - 오레건공장관리팀</dc:creator>
  <cp:lastModifiedBy>정인상(Matthew Joung∙Senior Manager) - 오레건공장관리팀</cp:lastModifiedBy>
  <dcterms:created xsi:type="dcterms:W3CDTF">2026-07-13T17:06:37Z</dcterms:created>
  <dcterms:modified xsi:type="dcterms:W3CDTF">2026-08-07T22:15:09Z</dcterms:modified>
</cp:coreProperties>
</file>
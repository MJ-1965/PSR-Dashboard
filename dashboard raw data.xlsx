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95281F31-0DAD-40DB-B0D9-27EAD8D4FED3}" xr6:coauthVersionLast="47" xr6:coauthVersionMax="47" xr10:uidLastSave="{00000000-0000-0000-0000-000000000000}"/>
  <bookViews>
    <workbookView xWindow="-23148" yWindow="-108" windowWidth="23256" windowHeight="12456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<sst xmlns="http://schemas.openxmlformats.org/spreadsheetml/2006/main" count="536" uniqueCount="394">
  <si>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</si>
  <si>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</si>
  <si>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</si>
  <si>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</si>
  <si>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</si>
  <si>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</si>
  <si>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</si>
  <si>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</si>
  <si>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</si>
  <si>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</si>
  <si>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</si>
  <si>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</si>
  <si>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</si>
  <si>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</si>
  <si>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</si>
  <si>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</si>
  <si>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</si>
  <si>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</si>
  <si>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</si>
  <si>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</si>
  <si>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</si>
  <si>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</si>
  <si>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</si>
  <si>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</si>
  <si>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</si>
  <si>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</si>
  <si>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</si>
  <si>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</si>
  <si>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</si>
  <si>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</si>
  <si>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</si>
  <si>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</si>
  <si>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</si>
  <si>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</si>
  <si>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</si>
  <si>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</si>
  <si>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</si>
  <si>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</si>
  <si>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</si>
  <si>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</si>
  <si>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</si>
  <si>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</si>
  <si>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</si>
  <si>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</si>
  <si>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</si>
  <si>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</si>
  <si>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</si>
  <si>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</si>
  <si>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</si>
  <si>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</si>
  <si>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</si>
  <si>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</si>
  <si>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</si>
  <si>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</si>
  <si>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</si>
  <si>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</si>
  <si>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</si>
  <si>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</si>
  <si>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</si>
  <si>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</si>
  <si>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</si>
  <si>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</si>
  <si>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</si>
  <si>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</si>
  <si>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</si>
  <si>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</si>
  <si>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</si>
  <si>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</si>
  <si>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</si>
  <si>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</si>
  <si>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</si>
  <si>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</si>
  <si>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</si>
  <si>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</si>
  <si>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</si>
  <si>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</si>
  <si>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</si>
  <si>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</si>
  <si>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</si>
  <si>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</si>
  <si>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</si>
  <si>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</si>
  <si>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</si>
  <si>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</si>
  <si>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</si>
  <si>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</si>
  <si>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</si>
  <si>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</si>
  <si>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</si>
  <si>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</si>
  <si>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</si>
  <si>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</si>
  <si>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</si>
  <si>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</si>
  <si>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</si>
  <si>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</si>
  <si>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</si>
  <si>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</si>
  <si>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</si>
  <si>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</si>
  <si>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</si>
  <si>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</si>
  <si>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</si>
  <si>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</si>
  <si>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</si>
  <si>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</si>
  <si>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</si>
  <si>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</si>
  <si>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</si>
  <si>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</si>
  <si>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</si>
  <si>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</si>
  <si>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</si>
  <si>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</si>
  <si>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</si>
  <si>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</si>
  <si>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</si>
  <si>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</si>
  <si>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</si>
  <si>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</si>
  <si>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</si>
  <si>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</si>
  <si>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</si>
  <si>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</si>
  <si>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</si>
  <si>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</si>
  <si>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</si>
  <si>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</si>
  <si>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</si>
  <si>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</si>
  <si>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</si>
  <si>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</si>
  <si>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</si>
  <si>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</si>
  <si>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</si>
  <si>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</si>
  <si>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</si>
  <si>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</si>
  <si>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</si>
  <si>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</si>
  <si>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</si>
  <si>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</si>
  <si>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</si>
  <si>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</si>
  <si>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</si>
  <si>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</si>
  <si>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</si>
  <si>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</si>
  <si>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</si>
  <si>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</si>
  <si>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</si>
  <si>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</si>
  <si>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</si>
  <si>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</si>
  <si>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</si>
  <si>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</si>
  <si>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</si>
  <si>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</si>
  <si>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</si>
  <si>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</si>
  <si>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</si>
  <si>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</si>
  <si>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</si>
  <si>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</si>
  <si>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</si>
  <si>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</si>
  <si>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</si>
  <si>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</si>
  <si>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</si>
  <si>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</si>
  <si>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</si>
  <si>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</si>
  <si>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</si>
  <si>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</si>
  <si>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</si>
  <si>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</si>
  <si>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</si>
  <si>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</si>
  <si>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</si>
  <si>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</si>
  <si>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</si>
  <si>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</si>
  <si>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</si>
  <si>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</si>
  <si>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</si>
  <si>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</si>
  <si>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</si>
  <si>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</si>
  <si>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</si>
  <si>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</si>
  <si>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</si>
  <si>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</si>
  <si>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</si>
  <si>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</si>
  <si>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</si>
  <si>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</si>
  <si>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</si>
  <si>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</si>
  <si>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</si>
  <si>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</si>
  <si>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</si>
  <si>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</si>
  <si>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</si>
  <si>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</si>
  <si>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</si>
  <si>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</si>
  <si>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</si>
  <si>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</si>
  <si>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</si>
  <si>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</si>
  <si>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</si>
  <si>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</si>
  <si>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</si>
  <si>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</si>
  <si>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</si>
  <si>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</si>
  <si>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</si>
  <si>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</si>
  <si>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</si>
  <si>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</si>
  <si>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</si>
  <si>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</si>
  <si>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</si>
  <si>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</si>
  <si>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</si>
  <si>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</si>
  <si>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</si>
  <si>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</si>
  <si>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</si>
  <si>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</si>
  <si>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</si>
  <si>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</si>
  <si>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</si>
  <si>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</si>
  <si>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</si>
  <si>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</si>
  <si>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</si>
  <si>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</si>
  <si>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</si>
  <si>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</si>
  <si>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</si>
  <si>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</si>
  <si>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</si>
  <si>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</si>
  <si>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</si>
  <si>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</si>
  <si>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</si>
  <si>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</si>
  <si>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</si>
  <si>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</si>
  <si>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</si>
  <si>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</si>
  <si>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</si>
  <si>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</si>
  <si>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</si>
  <si>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</si>
  <si>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</si>
  <si>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</si>
  <si>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</si>
  <si>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</si>
  <si>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</si>
  <si>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</si>
  <si>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</si>
  <si>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</si>
  <si>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</si>
  <si>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</si>
  <si>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</si>
  <si>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</si>
  <si>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</si>
  <si>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</si>
  <si>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</si>
  <si>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</si>
  <si>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</si>
  <si>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</si>
  <si>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</si>
  <si>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</si>
  <si>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</si>
  <si>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</si>
  <si>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</si>
  <si>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</si>
  <si>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</si>
  <si>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</si>
  <si>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</si>
  <si>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</si>
  <si>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</si>
  <si>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</si>
  <si>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</si>
  <si>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</si>
  <si>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</si>
  <si>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</si>
  <si>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</si>
  <si>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</si>
  <si>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</si>
  <si>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</si>
  <si>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</si>
  <si>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</si>
  <si>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</si>
  <si>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</si>
  <si>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</si>
  <si>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</si>
  <si>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</si>
  <si>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</si>
  <si>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</si>
  <si>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</si>
  <si>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</si>
  <si>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</si>
  <si>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</si>
  <si>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</si>
  <si>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</si>
  <si>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</si>
  <si>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</si>
  <si>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</si>
  <si>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</si>
  <si>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</si>
  <si>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</si>
  <si>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</si>
  <si>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</si>
  <si>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</si>
  <si>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</si>
  <si>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</si>
  <si>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</si>
  <si>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</si>
  <si>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</si>
  <si>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</si>
  <si>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</si>
  <si>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</si>
  <si>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</si>
  <si>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</si>
  <si>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</si>
  <si>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</si>
  <si>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</si>
  <si>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</si>
  <si>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</si>
  <si>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</si>
  <si>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</si>
  <si>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</si>
  <si>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</si>
  <si>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</si>
  <si>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</si>
  <si>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</si>
  <si>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</si>
  <si>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</si>
  <si>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</si>
  <si>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</si>
  <si>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</si>
  <si>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</si>
  <si>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</si>
  <si>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</si>
  <si>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</si>
  <si>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</si>
  <si>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</si>
  <si>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Esmeralda Hernandez Santos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</si>
  <si>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</si>
  <si>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</si>
  <si>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</si>
  <si>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</si>
  <si>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</si>
  <si>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</si>
  <si>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</si>
  <si>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</si>
  <si>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</si>
  <si>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</si>
  <si>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</si>
  <si>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</si>
  <si>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</si>
  <si>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</si>
  <si>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</si>
  <si>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</si>
  <si>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</si>
  <si>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</si>
  <si>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</si>
  <si>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</si>
  <si>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</si>
  <si>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</si>
  <si>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</si>
  <si>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</si>
  <si>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</si>
  <si>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</si>
  <si>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</si>
  <si>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</si>
  <si>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</si>
  <si>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</si>
  <si>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</si>
  <si>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</si>
  <si>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</si>
  <si>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</si>
  <si>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</si>
  <si>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</si>
  <si>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</si>
  <si>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</si>
  <si>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</si>
  <si>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</si>
  <si>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Pregnant</t>
  </si>
  <si>
    <t>Off (fill form)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</si>
</sst>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5A3286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2:H53"/>
  <sheetViews>
    <sheetView tabSelected="1" zoomScale="175" zoomScaleNormal="175" workbookViewId="0">
      <selection activeCell="D7" sqref="D7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2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2:8" ht="15.75" thickBot="1" x14ac:dyDescent="0.3">
      <c r="B3" s="25" t="s">
        <v>339</v>
      </c>
      <c r="C3" s="5"/>
      <c r="D3" s="5"/>
      <c r="E3" s="31" t="s">
        <v>390</v>
      </c>
      <c r="F3" s="6"/>
      <c r="G3" s="6"/>
      <c r="H3" s="5"/>
    </row>
    <row r="4" spans="2:8" ht="15.75" thickBot="1" x14ac:dyDescent="0.3">
      <c r="B4" s="25" t="s">
        <v>340</v>
      </c>
      <c r="C4" s="5"/>
      <c r="D4" s="5"/>
      <c r="E4" s="32" t="s">
        <v>390</v>
      </c>
      <c r="F4" s="6"/>
      <c r="G4" s="6"/>
      <c r="H4" s="7" t="s">
        <v>392</v>
      </c>
    </row>
    <row r="5" spans="2:8" ht="15.75" thickBot="1" x14ac:dyDescent="0.3">
      <c r="B5" s="25" t="s">
        <v>341</v>
      </c>
      <c r="C5" s="5"/>
      <c r="D5" s="5"/>
      <c r="E5" s="32" t="s">
        <v>390</v>
      </c>
      <c r="F5" s="6"/>
      <c r="G5" s="6"/>
      <c r="H5" s="5"/>
    </row>
    <row r="6" spans="2:8" ht="30" thickBot="1" x14ac:dyDescent="0.3">
      <c r="B6" s="25" t="s">
        <v>342</v>
      </c>
      <c r="C6" s="5"/>
      <c r="D6" s="5"/>
      <c r="E6" s="32" t="s">
        <v>390</v>
      </c>
      <c r="F6" s="6"/>
      <c r="G6" s="6"/>
      <c r="H6" s="7"/>
    </row>
    <row r="7" spans="2:8" ht="15.75" thickBot="1" x14ac:dyDescent="0.3">
      <c r="B7" s="25" t="s">
        <v>343</v>
      </c>
      <c r="C7" s="7"/>
      <c r="D7" s="7"/>
      <c r="E7" s="32" t="s">
        <v>390</v>
      </c>
      <c r="F7" s="7"/>
      <c r="G7" s="7"/>
      <c r="H7" s="7"/>
    </row>
    <row r="8" spans="2:8" ht="15.75" thickBot="1" x14ac:dyDescent="0.3">
      <c r="B8" s="25" t="s">
        <v>344</v>
      </c>
      <c r="C8" s="7"/>
      <c r="D8" s="7"/>
      <c r="E8" s="32" t="s">
        <v>390</v>
      </c>
      <c r="F8" s="7"/>
      <c r="G8" s="7"/>
      <c r="H8" s="7"/>
    </row>
    <row r="9" spans="2:8" ht="15.75" thickBot="1" x14ac:dyDescent="0.3">
      <c r="B9" s="25" t="s">
        <v>345</v>
      </c>
      <c r="C9" s="7"/>
      <c r="D9" s="7"/>
      <c r="E9" s="32" t="s">
        <v>390</v>
      </c>
      <c r="F9" s="7"/>
      <c r="G9" s="7"/>
      <c r="H9" s="7"/>
    </row>
    <row r="10" spans="2:8" ht="30" thickBot="1" x14ac:dyDescent="0.3">
      <c r="B10" s="25" t="s">
        <v>346</v>
      </c>
      <c r="C10" s="7"/>
      <c r="D10" s="7"/>
      <c r="E10" s="33" t="s">
        <v>393</v>
      </c>
      <c r="F10" s="7"/>
      <c r="G10" s="7"/>
      <c r="H10" s="7"/>
    </row>
    <row r="11" spans="2:8" ht="15.75" thickBot="1" x14ac:dyDescent="0.3">
      <c r="B11" s="25" t="s">
        <v>347</v>
      </c>
      <c r="C11" s="7"/>
      <c r="D11" s="7"/>
      <c r="E11" s="32" t="s">
        <v>390</v>
      </c>
      <c r="F11" s="7"/>
      <c r="G11" s="7"/>
      <c r="H11" s="7"/>
    </row>
    <row r="12" spans="2:8" ht="30" thickBot="1" x14ac:dyDescent="0.3">
      <c r="B12" s="25" t="s">
        <v>348</v>
      </c>
      <c r="C12" s="7"/>
      <c r="D12" s="7"/>
      <c r="E12" s="34" t="s">
        <v>391</v>
      </c>
      <c r="F12" s="7"/>
      <c r="G12" s="7"/>
      <c r="H12" s="7"/>
    </row>
    <row r="13" spans="2:8" ht="15.75" thickBot="1" x14ac:dyDescent="0.3">
      <c r="B13" s="25" t="s">
        <v>349</v>
      </c>
      <c r="C13" s="7"/>
      <c r="D13" s="7"/>
      <c r="E13" s="35"/>
      <c r="F13" s="7"/>
      <c r="G13" s="7"/>
      <c r="H13" s="7"/>
    </row>
    <row r="14" spans="2:8" ht="15.75" thickBot="1" x14ac:dyDescent="0.3">
      <c r="B14" s="25" t="s">
        <v>350</v>
      </c>
      <c r="C14" s="7"/>
      <c r="D14" s="7"/>
      <c r="E14" s="32" t="s">
        <v>390</v>
      </c>
      <c r="F14" s="7"/>
      <c r="G14" s="7"/>
      <c r="H14" s="7"/>
    </row>
    <row r="15" spans="2:8" ht="30" thickBot="1" x14ac:dyDescent="0.3">
      <c r="B15" s="25" t="s">
        <v>351</v>
      </c>
      <c r="C15" s="7"/>
      <c r="D15" s="7"/>
      <c r="E15" s="32" t="s">
        <v>390</v>
      </c>
      <c r="F15" s="7"/>
      <c r="G15" s="7"/>
      <c r="H15" s="7"/>
    </row>
    <row r="16" spans="2:8" ht="15.75" thickBot="1" x14ac:dyDescent="0.3">
      <c r="B16" s="25" t="s">
        <v>352</v>
      </c>
      <c r="C16" s="7"/>
      <c r="D16" s="7"/>
      <c r="E16" s="32" t="s">
        <v>390</v>
      </c>
      <c r="F16" s="7"/>
      <c r="G16" s="7"/>
      <c r="H16" s="7"/>
    </row>
    <row r="17" spans="2:8" ht="15.75" thickBot="1" x14ac:dyDescent="0.3">
      <c r="B17" s="25" t="s">
        <v>353</v>
      </c>
      <c r="C17" s="7"/>
      <c r="D17" s="7"/>
      <c r="E17" s="32" t="s">
        <v>390</v>
      </c>
      <c r="F17" s="7"/>
      <c r="G17" s="7"/>
      <c r="H17" s="7"/>
    </row>
    <row r="18" spans="2:8" ht="30" thickBot="1" x14ac:dyDescent="0.3">
      <c r="B18" s="25" t="s">
        <v>354</v>
      </c>
      <c r="C18" s="7"/>
      <c r="D18" s="7"/>
      <c r="E18" s="32" t="s">
        <v>390</v>
      </c>
      <c r="F18" s="7"/>
      <c r="G18" s="7"/>
      <c r="H18" s="7" t="s">
        <v>392</v>
      </c>
    </row>
    <row r="19" spans="2:8" ht="15.75" thickBot="1" x14ac:dyDescent="0.3">
      <c r="B19" s="25" t="s">
        <v>355</v>
      </c>
      <c r="C19" s="7"/>
      <c r="D19" s="7"/>
      <c r="E19" s="32" t="s">
        <v>390</v>
      </c>
      <c r="F19" s="7"/>
      <c r="G19" s="7"/>
      <c r="H19" s="7"/>
    </row>
    <row r="20" spans="2:8" ht="30" thickBot="1" x14ac:dyDescent="0.3">
      <c r="B20" s="25" t="s">
        <v>356</v>
      </c>
      <c r="C20" s="7"/>
      <c r="D20" s="7"/>
      <c r="E20" s="32" t="s">
        <v>390</v>
      </c>
      <c r="F20" s="7"/>
      <c r="G20" s="7"/>
      <c r="H20" s="7"/>
    </row>
    <row r="21" spans="2:8" ht="15.75" thickBot="1" x14ac:dyDescent="0.3">
      <c r="B21" s="25" t="s">
        <v>357</v>
      </c>
      <c r="C21" s="7"/>
      <c r="D21" s="7"/>
      <c r="E21" s="32" t="s">
        <v>390</v>
      </c>
      <c r="F21" s="7"/>
      <c r="G21" s="7"/>
      <c r="H21" s="7"/>
    </row>
    <row r="22" spans="2:8" ht="15.75" thickBot="1" x14ac:dyDescent="0.3">
      <c r="B22" s="25" t="s">
        <v>358</v>
      </c>
      <c r="C22" s="7"/>
      <c r="D22" s="7"/>
      <c r="E22" s="32" t="s">
        <v>390</v>
      </c>
      <c r="F22" s="7"/>
      <c r="G22" s="7"/>
      <c r="H22" s="7"/>
    </row>
    <row r="23" spans="2:8" ht="15.75" thickBot="1" x14ac:dyDescent="0.3">
      <c r="B23" s="25" t="s">
        <v>359</v>
      </c>
      <c r="C23" s="7"/>
      <c r="D23" s="7"/>
      <c r="E23" s="32" t="s">
        <v>390</v>
      </c>
      <c r="F23" s="7"/>
      <c r="G23" s="7"/>
      <c r="H23" s="7"/>
    </row>
    <row r="24" spans="2:8" ht="15.75" thickBot="1" x14ac:dyDescent="0.3">
      <c r="B24" s="25" t="s">
        <v>360</v>
      </c>
      <c r="C24" s="7"/>
      <c r="D24" s="7"/>
      <c r="E24" s="32" t="s">
        <v>390</v>
      </c>
      <c r="F24" s="7"/>
      <c r="G24" s="7"/>
      <c r="H24" s="7"/>
    </row>
    <row r="25" spans="2:8" ht="30" thickBot="1" x14ac:dyDescent="0.3">
      <c r="B25" s="25" t="s">
        <v>361</v>
      </c>
      <c r="C25" s="7"/>
      <c r="D25" s="7"/>
      <c r="E25" s="32" t="s">
        <v>390</v>
      </c>
      <c r="F25" s="7"/>
      <c r="G25" s="7"/>
      <c r="H25" s="7"/>
    </row>
    <row r="26" spans="2:8" ht="15.75" thickBot="1" x14ac:dyDescent="0.3">
      <c r="B26" s="25" t="s">
        <v>362</v>
      </c>
      <c r="C26" s="7"/>
      <c r="D26" s="7"/>
      <c r="E26" s="35"/>
      <c r="F26" s="7"/>
      <c r="G26" s="7"/>
      <c r="H26" s="7"/>
    </row>
    <row r="27" spans="2:8" ht="15.75" thickBot="1" x14ac:dyDescent="0.3">
      <c r="B27" s="25" t="s">
        <v>363</v>
      </c>
      <c r="C27" s="7"/>
      <c r="D27" s="7"/>
      <c r="E27" s="35"/>
      <c r="F27" s="7"/>
      <c r="G27" s="7"/>
      <c r="H27" s="7" t="s">
        <v>392</v>
      </c>
    </row>
    <row r="28" spans="2:8" ht="15.75" thickBot="1" x14ac:dyDescent="0.3">
      <c r="B28" s="25" t="s">
        <v>364</v>
      </c>
      <c r="C28" s="7"/>
      <c r="D28" s="7"/>
      <c r="E28" s="32" t="s">
        <v>390</v>
      </c>
      <c r="F28" s="7"/>
      <c r="G28" s="7"/>
      <c r="H28" s="7"/>
    </row>
    <row r="29" spans="2:8" ht="15.75" thickBot="1" x14ac:dyDescent="0.3">
      <c r="B29" s="25" t="s">
        <v>365</v>
      </c>
      <c r="C29" s="7"/>
      <c r="D29" s="7"/>
      <c r="E29" s="32" t="s">
        <v>390</v>
      </c>
      <c r="F29" s="7"/>
      <c r="G29" s="7"/>
      <c r="H29" s="7"/>
    </row>
    <row r="30" spans="2:8" ht="15.75" thickBot="1" x14ac:dyDescent="0.3">
      <c r="B30" s="25" t="s">
        <v>366</v>
      </c>
      <c r="C30" s="7"/>
      <c r="D30" s="7"/>
      <c r="E30" s="32" t="s">
        <v>390</v>
      </c>
      <c r="F30" s="7"/>
      <c r="G30" s="7"/>
      <c r="H30" s="7"/>
    </row>
    <row r="31" spans="2:8" ht="15.75" thickBot="1" x14ac:dyDescent="0.3">
      <c r="B31" s="25" t="s">
        <v>367</v>
      </c>
      <c r="C31" s="7"/>
      <c r="D31" s="7"/>
      <c r="E31" s="34" t="s">
        <v>391</v>
      </c>
      <c r="F31" s="7"/>
      <c r="G31" s="7"/>
      <c r="H31" s="7"/>
    </row>
    <row r="32" spans="2:8" ht="15.75" thickBot="1" x14ac:dyDescent="0.3">
      <c r="B32" s="25" t="s">
        <v>368</v>
      </c>
      <c r="C32" s="7"/>
      <c r="D32" s="7"/>
      <c r="E32" s="32" t="s">
        <v>390</v>
      </c>
      <c r="F32" s="7"/>
      <c r="G32" s="7"/>
      <c r="H32" s="7"/>
    </row>
    <row r="33" spans="2:8" ht="15.75" thickBot="1" x14ac:dyDescent="0.3">
      <c r="B33" s="25" t="s">
        <v>369</v>
      </c>
      <c r="C33" s="7"/>
      <c r="D33" s="7"/>
      <c r="E33" s="32" t="s">
        <v>390</v>
      </c>
      <c r="F33" s="7"/>
      <c r="G33" s="7"/>
      <c r="H33" s="7"/>
    </row>
    <row r="34" spans="2:8" ht="15.75" thickBot="1" x14ac:dyDescent="0.3">
      <c r="B34" s="25" t="s">
        <v>370</v>
      </c>
      <c r="C34" s="7"/>
      <c r="D34" s="7"/>
      <c r="E34" s="32" t="s">
        <v>390</v>
      </c>
      <c r="F34" s="7"/>
      <c r="G34" s="7"/>
      <c r="H34" s="7"/>
    </row>
    <row r="35" spans="2:8" ht="15.75" thickBot="1" x14ac:dyDescent="0.3">
      <c r="B35" s="25" t="s">
        <v>371</v>
      </c>
      <c r="C35" s="7"/>
      <c r="D35" s="7"/>
      <c r="E35" s="32" t="s">
        <v>390</v>
      </c>
      <c r="F35" s="7"/>
      <c r="G35" s="7"/>
      <c r="H35" s="7"/>
    </row>
    <row r="36" spans="2:8" ht="30" thickBot="1" x14ac:dyDescent="0.3">
      <c r="B36" s="25" t="s">
        <v>372</v>
      </c>
      <c r="C36" s="7"/>
      <c r="D36" s="7"/>
      <c r="E36" s="32" t="s">
        <v>390</v>
      </c>
      <c r="F36" s="7"/>
      <c r="G36" s="7"/>
      <c r="H36" s="7"/>
    </row>
    <row r="37" spans="2:8" ht="15.75" thickBot="1" x14ac:dyDescent="0.3">
      <c r="B37" s="25" t="s">
        <v>373</v>
      </c>
      <c r="C37" s="7"/>
      <c r="D37" s="7"/>
      <c r="E37" s="32" t="s">
        <v>390</v>
      </c>
      <c r="F37" s="7"/>
      <c r="G37" s="7"/>
      <c r="H37" s="7"/>
    </row>
    <row r="38" spans="2:8" ht="15.75" thickBot="1" x14ac:dyDescent="0.3">
      <c r="B38" s="25" t="s">
        <v>374</v>
      </c>
      <c r="C38" s="7"/>
      <c r="D38" s="7"/>
      <c r="E38" s="32" t="s">
        <v>390</v>
      </c>
      <c r="F38" s="7"/>
      <c r="G38" s="7"/>
      <c r="H38" s="7"/>
    </row>
    <row r="39" spans="2:8" ht="15.75" thickBot="1" x14ac:dyDescent="0.3">
      <c r="B39" s="25" t="s">
        <v>375</v>
      </c>
      <c r="C39" s="7"/>
      <c r="D39" s="7"/>
      <c r="E39" s="32" t="s">
        <v>390</v>
      </c>
      <c r="F39" s="7"/>
      <c r="G39" s="7"/>
      <c r="H39" s="7"/>
    </row>
    <row r="40" spans="2:8" ht="15.75" thickBot="1" x14ac:dyDescent="0.3">
      <c r="B40" s="25" t="s">
        <v>376</v>
      </c>
      <c r="C40" s="7"/>
      <c r="D40" s="7"/>
      <c r="E40" s="32" t="s">
        <v>390</v>
      </c>
      <c r="F40" s="7"/>
      <c r="G40" s="7"/>
      <c r="H40" s="7"/>
    </row>
    <row r="41" spans="2:8" ht="30" thickBot="1" x14ac:dyDescent="0.3">
      <c r="B41" s="25" t="s">
        <v>377</v>
      </c>
      <c r="C41" s="7"/>
      <c r="D41" s="7"/>
      <c r="E41" s="32" t="s">
        <v>390</v>
      </c>
      <c r="F41" s="7"/>
      <c r="G41" s="7"/>
      <c r="H41" s="7"/>
    </row>
    <row r="42" spans="2:8" ht="15.75" thickBot="1" x14ac:dyDescent="0.3">
      <c r="B42" s="25" t="s">
        <v>378</v>
      </c>
      <c r="C42" s="7"/>
      <c r="D42" s="7"/>
      <c r="E42" s="32" t="s">
        <v>390</v>
      </c>
      <c r="F42" s="7"/>
      <c r="G42" s="7"/>
      <c r="H42" s="7"/>
    </row>
    <row r="43" spans="2:8" ht="15.75" thickBot="1" x14ac:dyDescent="0.3">
      <c r="B43" s="25" t="s">
        <v>379</v>
      </c>
      <c r="C43" s="7"/>
      <c r="D43" s="7"/>
      <c r="E43" s="35"/>
      <c r="F43" s="7"/>
      <c r="G43" s="7"/>
      <c r="H43" s="7" t="s">
        <v>392</v>
      </c>
    </row>
    <row r="44" spans="2:8" ht="15.75" thickBot="1" x14ac:dyDescent="0.3">
      <c r="B44" s="25" t="s">
        <v>380</v>
      </c>
      <c r="C44" s="7"/>
      <c r="D44" s="7"/>
      <c r="E44" s="35"/>
      <c r="F44" s="7"/>
      <c r="G44" s="7"/>
      <c r="H44" s="7"/>
    </row>
    <row r="45" spans="2:8" ht="15.75" thickBot="1" x14ac:dyDescent="0.3">
      <c r="B45" s="25" t="s">
        <v>381</v>
      </c>
      <c r="C45" s="7"/>
      <c r="D45" s="7"/>
      <c r="E45" s="32" t="s">
        <v>390</v>
      </c>
      <c r="F45" s="7"/>
      <c r="G45" s="7"/>
      <c r="H45" s="7"/>
    </row>
    <row r="46" spans="2:8" ht="15.75" thickBot="1" x14ac:dyDescent="0.3">
      <c r="B46" s="25" t="s">
        <v>382</v>
      </c>
      <c r="C46" s="7"/>
      <c r="D46" s="7"/>
      <c r="E46" s="32" t="s">
        <v>390</v>
      </c>
      <c r="F46" s="7"/>
      <c r="G46" s="7"/>
      <c r="H46" s="5" t="s">
        <v>267</v>
      </c>
    </row>
    <row r="47" spans="2:8" ht="15.75" thickBot="1" x14ac:dyDescent="0.3">
      <c r="B47" s="25" t="s">
        <v>383</v>
      </c>
      <c r="C47" s="7"/>
      <c r="D47" s="7"/>
      <c r="E47" s="32" t="s">
        <v>390</v>
      </c>
      <c r="F47" s="7"/>
      <c r="G47" s="7"/>
      <c r="H47" s="7"/>
    </row>
    <row r="48" spans="2:8" ht="30" thickBot="1" x14ac:dyDescent="0.3">
      <c r="B48" s="25" t="s">
        <v>384</v>
      </c>
      <c r="C48" s="7"/>
      <c r="D48" s="7"/>
      <c r="E48" s="32" t="s">
        <v>390</v>
      </c>
      <c r="F48" s="7"/>
      <c r="G48" s="7"/>
      <c r="H48" s="7"/>
    </row>
    <row r="49" spans="2:8" ht="15.75" thickBot="1" x14ac:dyDescent="0.3">
      <c r="B49" s="25" t="s">
        <v>385</v>
      </c>
      <c r="C49" s="7"/>
      <c r="D49" s="7"/>
      <c r="E49" s="34" t="s">
        <v>391</v>
      </c>
      <c r="F49" s="7"/>
      <c r="G49" s="7"/>
      <c r="H49" s="7"/>
    </row>
    <row r="50" spans="2:8" ht="15.75" thickBot="1" x14ac:dyDescent="0.3">
      <c r="B50" s="25" t="s">
        <v>386</v>
      </c>
      <c r="C50" s="7"/>
      <c r="D50" s="7"/>
      <c r="E50" s="32" t="s">
        <v>390</v>
      </c>
      <c r="F50" s="7"/>
      <c r="G50" s="7"/>
      <c r="H50" s="7"/>
    </row>
    <row r="51" spans="2:8" ht="15.75" thickBot="1" x14ac:dyDescent="0.3">
      <c r="B51" s="25" t="s">
        <v>387</v>
      </c>
      <c r="C51" s="7"/>
      <c r="D51" s="7"/>
      <c r="E51" s="32" t="s">
        <v>390</v>
      </c>
      <c r="F51" s="7"/>
      <c r="G51" s="7"/>
      <c r="H51" s="7"/>
    </row>
    <row r="52" spans="2:8" ht="30" thickBot="1" x14ac:dyDescent="0.3">
      <c r="B52" s="25" t="s">
        <v>388</v>
      </c>
      <c r="C52" s="7"/>
      <c r="D52" s="7"/>
      <c r="E52" s="32" t="s">
        <v>390</v>
      </c>
      <c r="F52" s="7"/>
      <c r="G52" s="7"/>
      <c r="H52" s="7"/>
    </row>
    <row r="53" spans="2:8" x14ac:dyDescent="0.25">
      <c r="B53" s="25" t="s">
        <v>389</v>
      </c>
      <c r="C53" s="7"/>
      <c r="D53" s="7"/>
      <c r="E53" s="26" t="s">
        <v>390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9" sqref="J9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46249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workbookViewId="0">
      <selection activeCell="I19" sqref="I19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299</v>
      </c>
      <c r="C2" s="1" t="s">
        <v>300</v>
      </c>
      <c r="D2" s="1" t="s">
        <v>302</v>
      </c>
      <c r="E2" s="1" t="s">
        <v>303</v>
      </c>
      <c r="F2" s="1" t="s">
        <v>266</v>
      </c>
    </row>
    <row r="3" spans="2:6" ht="15.75" thickBot="1" x14ac:dyDescent="0.3">
      <c r="B3" s="2" t="s">
        <v>299</v>
      </c>
      <c r="C3" s="2" t="s">
        <v>301</v>
      </c>
      <c r="D3" s="2" t="s">
        <v>150</v>
      </c>
      <c r="E3" s="3">
        <v>46217</v>
      </c>
      <c r="F3" s="2"/>
    </row>
    <row r="4" spans="2:6" ht="15.75" thickBot="1" x14ac:dyDescent="0.3">
      <c r="B4" s="2" t="s">
        <v>299</v>
      </c>
      <c r="C4" s="2" t="s">
        <v>149</v>
      </c>
      <c r="D4" s="2" t="s">
        <v>150</v>
      </c>
      <c r="E4" s="3">
        <v>46218</v>
      </c>
      <c r="F4" s="2" t="s">
        <v>309</v>
      </c>
    </row>
    <row r="5" spans="2:6" ht="15.75" thickBot="1" x14ac:dyDescent="0.3">
      <c r="B5" s="2" t="s">
        <v>299</v>
      </c>
      <c r="C5" s="2" t="s">
        <v>149</v>
      </c>
      <c r="D5" s="2" t="s">
        <v>150</v>
      </c>
      <c r="E5" s="3">
        <v>46223</v>
      </c>
      <c r="F5" s="2" t="s">
        <v>310</v>
      </c>
    </row>
    <row r="6" spans="2:6" ht="15.75" thickBot="1" x14ac:dyDescent="0.3">
      <c r="B6" s="2" t="s">
        <v>299</v>
      </c>
      <c r="C6" s="2" t="s">
        <v>149</v>
      </c>
      <c r="D6" s="2" t="s">
        <v>150</v>
      </c>
      <c r="E6" s="3">
        <v>46225</v>
      </c>
      <c r="F6" s="2" t="s">
        <v>308</v>
      </c>
    </row>
    <row r="7" spans="2:6" ht="15.75" thickBot="1" x14ac:dyDescent="0.3">
      <c r="B7" s="2" t="s">
        <v>299</v>
      </c>
      <c r="C7" s="2" t="s">
        <v>149</v>
      </c>
      <c r="D7" s="2" t="s">
        <v>150</v>
      </c>
      <c r="E7" s="3">
        <v>46226</v>
      </c>
      <c r="F7" s="2" t="s">
        <v>311</v>
      </c>
    </row>
    <row r="8" spans="2:6" ht="15.75" thickBot="1" x14ac:dyDescent="0.3">
      <c r="B8" s="2" t="s">
        <v>299</v>
      </c>
      <c r="C8" s="2" t="s">
        <v>301</v>
      </c>
      <c r="D8" s="2" t="s">
        <v>150</v>
      </c>
      <c r="E8" s="3">
        <v>46232</v>
      </c>
      <c r="F8" s="2"/>
    </row>
    <row r="9" spans="2:6" ht="15.75" thickBot="1" x14ac:dyDescent="0.3">
      <c r="B9" s="2" t="s">
        <v>299</v>
      </c>
      <c r="C9" s="2" t="s">
        <v>149</v>
      </c>
      <c r="D9" s="2" t="s">
        <v>150</v>
      </c>
      <c r="E9" s="3">
        <v>46234</v>
      </c>
      <c r="F9" s="2" t="s">
        <v>312</v>
      </c>
    </row>
    <row r="10" spans="2:6" ht="15.75" thickBot="1" x14ac:dyDescent="0.3">
      <c r="B10" s="2" t="s">
        <v>299</v>
      </c>
      <c r="C10" s="2" t="s">
        <v>149</v>
      </c>
      <c r="D10" s="2" t="s">
        <v>150</v>
      </c>
      <c r="E10" s="3">
        <v>46237</v>
      </c>
      <c r="F10" s="2" t="s">
        <v>307</v>
      </c>
    </row>
    <row r="11" spans="2:6" ht="15.75" thickBot="1" x14ac:dyDescent="0.3">
      <c r="B11" s="2" t="s">
        <v>299</v>
      </c>
      <c r="C11" s="2" t="s">
        <v>152</v>
      </c>
      <c r="D11" s="2" t="s">
        <v>21</v>
      </c>
      <c r="E11" s="3">
        <v>46223</v>
      </c>
      <c r="F11" s="2"/>
    </row>
    <row r="12" spans="2:6" ht="15.75" thickBot="1" x14ac:dyDescent="0.3">
      <c r="B12" s="2" t="s">
        <v>299</v>
      </c>
      <c r="C12" s="2" t="s">
        <v>151</v>
      </c>
      <c r="D12" s="2" t="s">
        <v>21</v>
      </c>
      <c r="E12" s="3">
        <v>46223</v>
      </c>
      <c r="F12" s="2"/>
    </row>
    <row r="13" spans="2:6" ht="15.75" thickBot="1" x14ac:dyDescent="0.3">
      <c r="B13" s="2" t="s">
        <v>299</v>
      </c>
      <c r="C13" s="2" t="s">
        <v>149</v>
      </c>
      <c r="D13" s="2" t="s">
        <v>150</v>
      </c>
      <c r="E13" s="3">
        <v>46238</v>
      </c>
      <c r="F13" s="2" t="s">
        <v>313</v>
      </c>
    </row>
    <row r="14" spans="2:6" ht="15.75" thickBot="1" x14ac:dyDescent="0.3">
      <c r="B14" s="2" t="s">
        <v>299</v>
      </c>
      <c r="C14" s="2" t="s">
        <v>153</v>
      </c>
      <c r="D14" s="2" t="s">
        <v>19</v>
      </c>
      <c r="E14" s="3">
        <v>46239</v>
      </c>
      <c r="F14" s="2"/>
    </row>
    <row r="15" spans="2:6" ht="15.75" thickBot="1" x14ac:dyDescent="0.3">
      <c r="B15" s="2" t="s">
        <v>299</v>
      </c>
      <c r="C15" s="2" t="s">
        <v>301</v>
      </c>
      <c r="D15" s="2" t="s">
        <v>150</v>
      </c>
      <c r="E15" s="3">
        <v>46241</v>
      </c>
      <c r="F15" s="2"/>
    </row>
    <row r="16" spans="2:6" ht="15.75" thickBot="1" x14ac:dyDescent="0.3">
      <c r="B16" s="2" t="s">
        <v>299</v>
      </c>
      <c r="C16" s="2" t="s">
        <v>149</v>
      </c>
      <c r="D16" s="2" t="s">
        <v>150</v>
      </c>
      <c r="E16" s="3">
        <v>46245</v>
      </c>
      <c r="F16" s="2" t="s">
        <v>306</v>
      </c>
    </row>
    <row r="17" spans="2:6" ht="15.75" thickBot="1" x14ac:dyDescent="0.3">
      <c r="B17" s="2" t="s">
        <v>299</v>
      </c>
      <c r="C17" s="2" t="s">
        <v>149</v>
      </c>
      <c r="D17" s="2" t="s">
        <v>150</v>
      </c>
      <c r="E17" s="3">
        <v>46251</v>
      </c>
      <c r="F17" s="2" t="s">
        <v>305</v>
      </c>
    </row>
    <row r="18" spans="2:6" ht="15.75" thickBot="1" x14ac:dyDescent="0.3">
      <c r="B18" s="2" t="s">
        <v>299</v>
      </c>
      <c r="C18" s="2" t="s">
        <v>149</v>
      </c>
      <c r="D18" s="2" t="s">
        <v>150</v>
      </c>
      <c r="E18" s="3">
        <v>46251</v>
      </c>
      <c r="F18" s="2" t="s">
        <v>314</v>
      </c>
    </row>
    <row r="19" spans="2:6" ht="15.75" thickBot="1" x14ac:dyDescent="0.3">
      <c r="B19" s="2" t="s">
        <v>299</v>
      </c>
      <c r="C19" s="2" t="s">
        <v>301</v>
      </c>
      <c r="D19" s="2" t="s">
        <v>150</v>
      </c>
      <c r="E19" s="3">
        <v>46253</v>
      </c>
      <c r="F19" s="2"/>
    </row>
    <row r="20" spans="2:6" ht="15.75" thickBot="1" x14ac:dyDescent="0.3">
      <c r="B20" s="2" t="s">
        <v>299</v>
      </c>
      <c r="C20" s="2" t="s">
        <v>149</v>
      </c>
      <c r="D20" s="2" t="s">
        <v>150</v>
      </c>
      <c r="E20" s="3">
        <v>46258</v>
      </c>
      <c r="F20" s="2" t="s">
        <v>304</v>
      </c>
    </row>
    <row r="21" spans="2:6" ht="15.75" thickBot="1" x14ac:dyDescent="0.3">
      <c r="B21" s="2" t="s">
        <v>299</v>
      </c>
      <c r="C21" s="2" t="s">
        <v>154</v>
      </c>
      <c r="D21" s="2" t="s">
        <v>21</v>
      </c>
      <c r="E21" s="3">
        <v>46251</v>
      </c>
      <c r="F21" s="2"/>
    </row>
    <row r="22" spans="2:6" ht="15.75" thickBot="1" x14ac:dyDescent="0.3">
      <c r="B22" s="2" t="s">
        <v>299</v>
      </c>
      <c r="C22" s="2" t="s">
        <v>155</v>
      </c>
      <c r="D22" s="2" t="s">
        <v>156</v>
      </c>
      <c r="E22" s="3">
        <v>46261</v>
      </c>
      <c r="F22" s="2"/>
    </row>
    <row r="23" spans="2:6" ht="15.75" thickBot="1" x14ac:dyDescent="0.3">
      <c r="B23" s="2" t="s">
        <v>299</v>
      </c>
      <c r="C23" s="2" t="s">
        <v>149</v>
      </c>
      <c r="D23" s="2" t="s">
        <v>150</v>
      </c>
      <c r="E23" s="3">
        <v>46252</v>
      </c>
      <c r="F23" s="2" t="s">
        <v>315</v>
      </c>
    </row>
    <row r="24" spans="2:6" ht="15.75" thickBot="1" x14ac:dyDescent="0.3">
      <c r="B24" s="2" t="s">
        <v>299</v>
      </c>
      <c r="C24" s="2" t="s">
        <v>162</v>
      </c>
      <c r="D24" s="2" t="s">
        <v>150</v>
      </c>
      <c r="E24" s="3">
        <v>46245</v>
      </c>
      <c r="F24" s="2"/>
    </row>
    <row r="25" spans="2:6" ht="15.75" thickBot="1" x14ac:dyDescent="0.3">
      <c r="B25" s="2" t="s">
        <v>299</v>
      </c>
      <c r="C25" s="2" t="s">
        <v>152</v>
      </c>
      <c r="D25" s="2" t="s">
        <v>150</v>
      </c>
      <c r="E25" s="3">
        <v>46251</v>
      </c>
      <c r="F25" s="2"/>
    </row>
    <row r="26" spans="2:6" ht="15.75" thickBot="1" x14ac:dyDescent="0.3">
      <c r="B26" s="2" t="s">
        <v>299</v>
      </c>
      <c r="C26" s="2" t="s">
        <v>338</v>
      </c>
      <c r="D26" s="2" t="s">
        <v>150</v>
      </c>
      <c r="E26" s="3">
        <v>46248</v>
      </c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G7" sqref="G7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v>4.4000000000000004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AVERAGE(D3:D155)</f>
        <v>4.3290244121951229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-1.6130815410199419E-2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41FTL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27" t="s">
        <v>327</v>
      </c>
      <c r="F5" s="28">
        <f>SUM(C5:C35)</f>
        <v>4138</v>
      </c>
      <c r="G5" s="28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27"/>
      <c r="F6" s="28"/>
      <c r="G6" s="28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27" t="s">
        <v>331</v>
      </c>
      <c r="F10" s="29">
        <f>C81</f>
        <v>5160</v>
      </c>
      <c r="G10" s="30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27"/>
      <c r="F11" s="29"/>
      <c r="G11" s="30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Joung∙Manager) - 오레건공장관리팀</cp:lastModifiedBy>
  <dcterms:created xsi:type="dcterms:W3CDTF">2026-07-13T17:06:37Z</dcterms:created>
  <dcterms:modified xsi:type="dcterms:W3CDTF">2026-08-12T15:41:02Z</dcterms:modified>
</cp:coreProperties>
</file>